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14li\Desktop\"/>
    </mc:Choice>
  </mc:AlternateContent>
  <xr:revisionPtr revIDLastSave="0" documentId="13_ncr:1_{DA52C126-D5FB-4AA3-8AD1-6C668DDD7B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aR" sheetId="11" r:id="rId1"/>
    <sheet name="EWMA Volatility" sheetId="14" r:id="rId2"/>
    <sheet name="Stress" sheetId="13" r:id="rId3"/>
    <sheet name="Correlation" sheetId="12" r:id="rId4"/>
    <sheet name="Scenarios" sheetId="2" r:id="rId5"/>
  </sheets>
  <definedNames>
    <definedName name="solver_neg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4" l="1"/>
  <c r="F3" i="14"/>
  <c r="E4" i="14"/>
  <c r="F4" i="14"/>
  <c r="E5" i="14"/>
  <c r="F5" i="14"/>
  <c r="E6" i="14"/>
  <c r="F6" i="14"/>
  <c r="E7" i="14"/>
  <c r="F7" i="14"/>
  <c r="E8" i="14"/>
  <c r="F8" i="14"/>
  <c r="E9" i="14"/>
  <c r="F9" i="14"/>
  <c r="E10" i="14"/>
  <c r="F10" i="14"/>
  <c r="E11" i="14"/>
  <c r="F11" i="14"/>
  <c r="E12" i="14"/>
  <c r="F12" i="14"/>
  <c r="E13" i="14"/>
  <c r="F13" i="14"/>
  <c r="E14" i="14"/>
  <c r="F14" i="14"/>
  <c r="E15" i="14"/>
  <c r="F15" i="14"/>
  <c r="E16" i="14"/>
  <c r="F16" i="14"/>
  <c r="E17" i="14"/>
  <c r="F17" i="14"/>
  <c r="E18" i="14"/>
  <c r="F18" i="14"/>
  <c r="E19" i="14"/>
  <c r="F19" i="14"/>
  <c r="E20" i="14"/>
  <c r="F20" i="14"/>
  <c r="E21" i="14"/>
  <c r="F21" i="14"/>
  <c r="E22" i="14"/>
  <c r="F22" i="14"/>
  <c r="E23" i="14"/>
  <c r="F23" i="14"/>
  <c r="E24" i="14"/>
  <c r="F24" i="14"/>
  <c r="E25" i="14"/>
  <c r="F25" i="14"/>
  <c r="E26" i="14"/>
  <c r="F26" i="14"/>
  <c r="E27" i="14"/>
  <c r="F27" i="14"/>
  <c r="E28" i="14"/>
  <c r="F28" i="14"/>
  <c r="E29" i="14"/>
  <c r="F29" i="14"/>
  <c r="E30" i="14"/>
  <c r="F30" i="14"/>
  <c r="E31" i="14"/>
  <c r="F31" i="14"/>
  <c r="E32" i="14"/>
  <c r="F32" i="14"/>
  <c r="E33" i="14"/>
  <c r="F33" i="14"/>
  <c r="E34" i="14"/>
  <c r="F34" i="14"/>
  <c r="E35" i="14"/>
  <c r="F35" i="14"/>
  <c r="E36" i="14"/>
  <c r="F36" i="14"/>
  <c r="E37" i="14"/>
  <c r="F37" i="14"/>
  <c r="E38" i="14"/>
  <c r="F38" i="14"/>
  <c r="E39" i="14"/>
  <c r="F39" i="14"/>
  <c r="E40" i="14"/>
  <c r="F40" i="14"/>
  <c r="E41" i="14"/>
  <c r="F41" i="14"/>
  <c r="E42" i="14"/>
  <c r="F42" i="14"/>
  <c r="E43" i="14"/>
  <c r="F43" i="14"/>
  <c r="E44" i="14"/>
  <c r="F44" i="14"/>
  <c r="E45" i="14"/>
  <c r="F45" i="14"/>
  <c r="E46" i="14"/>
  <c r="F46" i="14"/>
  <c r="E47" i="14"/>
  <c r="F47" i="14"/>
  <c r="E48" i="14"/>
  <c r="F48" i="14"/>
  <c r="E49" i="14"/>
  <c r="F49" i="14"/>
  <c r="E50" i="14"/>
  <c r="F50" i="14"/>
  <c r="E51" i="14"/>
  <c r="F51" i="14"/>
  <c r="E52" i="14"/>
  <c r="F52" i="14"/>
  <c r="E53" i="14"/>
  <c r="F53" i="14"/>
  <c r="E54" i="14"/>
  <c r="F54" i="14"/>
  <c r="E55" i="14"/>
  <c r="F55" i="14"/>
  <c r="E56" i="14"/>
  <c r="F56" i="14"/>
  <c r="E57" i="14"/>
  <c r="F57" i="14"/>
  <c r="E58" i="14"/>
  <c r="F58" i="14"/>
  <c r="E59" i="14"/>
  <c r="F59" i="14"/>
  <c r="E60" i="14"/>
  <c r="F60" i="14"/>
  <c r="E61" i="14"/>
  <c r="F61" i="14"/>
  <c r="E62" i="14"/>
  <c r="F62" i="14"/>
  <c r="E63" i="14"/>
  <c r="F63" i="14"/>
  <c r="E64" i="14"/>
  <c r="F64" i="14"/>
  <c r="E65" i="14"/>
  <c r="F65" i="14"/>
  <c r="E66" i="14"/>
  <c r="F66" i="14"/>
  <c r="E67" i="14"/>
  <c r="F67" i="14"/>
  <c r="E68" i="14"/>
  <c r="F68" i="14"/>
  <c r="E69" i="14"/>
  <c r="F69" i="14"/>
  <c r="E70" i="14"/>
  <c r="F70" i="14"/>
  <c r="E71" i="14"/>
  <c r="F71" i="14"/>
  <c r="E72" i="14"/>
  <c r="F72" i="14"/>
  <c r="E73" i="14"/>
  <c r="F73" i="14"/>
  <c r="E74" i="14"/>
  <c r="F74" i="14"/>
  <c r="E75" i="14"/>
  <c r="F75" i="14"/>
  <c r="E76" i="14"/>
  <c r="F76" i="14"/>
  <c r="E77" i="14"/>
  <c r="F77" i="14"/>
  <c r="E78" i="14"/>
  <c r="F78" i="14"/>
  <c r="E79" i="14"/>
  <c r="F79" i="14"/>
  <c r="E80" i="14"/>
  <c r="F80" i="14"/>
  <c r="E81" i="14"/>
  <c r="F81" i="14"/>
  <c r="E82" i="14"/>
  <c r="F82" i="14"/>
  <c r="E83" i="14"/>
  <c r="F83" i="14"/>
  <c r="E84" i="14"/>
  <c r="F84" i="14"/>
  <c r="E85" i="14"/>
  <c r="F85" i="14"/>
  <c r="E86" i="14"/>
  <c r="F86" i="14"/>
  <c r="E87" i="14"/>
  <c r="F87" i="14"/>
  <c r="E88" i="14"/>
  <c r="F88" i="14"/>
  <c r="E89" i="14"/>
  <c r="F89" i="14"/>
  <c r="E90" i="14"/>
  <c r="F90" i="14"/>
  <c r="E91" i="14"/>
  <c r="F91" i="14"/>
  <c r="E92" i="14"/>
  <c r="F92" i="14"/>
  <c r="E93" i="14"/>
  <c r="F93" i="14"/>
  <c r="E94" i="14"/>
  <c r="F94" i="14"/>
  <c r="E95" i="14"/>
  <c r="F95" i="14"/>
  <c r="E96" i="14"/>
  <c r="F96" i="14"/>
  <c r="E97" i="14"/>
  <c r="F97" i="14"/>
  <c r="E98" i="14"/>
  <c r="F98" i="14"/>
  <c r="E99" i="14"/>
  <c r="F99" i="14"/>
  <c r="E100" i="14"/>
  <c r="F100" i="14"/>
  <c r="E101" i="14"/>
  <c r="F101" i="14"/>
  <c r="E102" i="14"/>
  <c r="F102" i="14"/>
  <c r="E103" i="14"/>
  <c r="F103" i="14"/>
  <c r="E104" i="14"/>
  <c r="F104" i="14"/>
  <c r="E105" i="14"/>
  <c r="F105" i="14"/>
  <c r="E106" i="14"/>
  <c r="F106" i="14"/>
  <c r="E107" i="14"/>
  <c r="F107" i="14"/>
  <c r="E108" i="14"/>
  <c r="F108" i="14"/>
  <c r="E109" i="14"/>
  <c r="F109" i="14"/>
  <c r="E110" i="14"/>
  <c r="F110" i="14"/>
  <c r="E111" i="14"/>
  <c r="F111" i="14"/>
  <c r="E112" i="14"/>
  <c r="F112" i="14"/>
  <c r="E113" i="14"/>
  <c r="F113" i="14"/>
  <c r="E114" i="14"/>
  <c r="F114" i="14"/>
  <c r="E115" i="14"/>
  <c r="F115" i="14"/>
  <c r="E116" i="14"/>
  <c r="F116" i="14"/>
  <c r="E117" i="14"/>
  <c r="F117" i="14"/>
  <c r="E118" i="14"/>
  <c r="F118" i="14"/>
  <c r="E119" i="14"/>
  <c r="F119" i="14"/>
  <c r="E120" i="14"/>
  <c r="F120" i="14"/>
  <c r="E121" i="14"/>
  <c r="F121" i="14"/>
  <c r="E122" i="14"/>
  <c r="F122" i="14"/>
  <c r="E123" i="14"/>
  <c r="F123" i="14"/>
  <c r="E124" i="14"/>
  <c r="F124" i="14"/>
  <c r="E125" i="14"/>
  <c r="F125" i="14"/>
  <c r="E126" i="14"/>
  <c r="F126" i="14"/>
  <c r="E127" i="14"/>
  <c r="F127" i="14"/>
  <c r="E128" i="14"/>
  <c r="F128" i="14"/>
  <c r="E129" i="14"/>
  <c r="F129" i="14"/>
  <c r="E130" i="14"/>
  <c r="F130" i="14"/>
  <c r="E131" i="14"/>
  <c r="F131" i="14"/>
  <c r="E132" i="14"/>
  <c r="F132" i="14"/>
  <c r="E133" i="14"/>
  <c r="F133" i="14"/>
  <c r="E134" i="14"/>
  <c r="F134" i="14"/>
  <c r="E135" i="14"/>
  <c r="F135" i="14"/>
  <c r="E136" i="14"/>
  <c r="F136" i="14"/>
  <c r="E137" i="14"/>
  <c r="F137" i="14"/>
  <c r="E138" i="14"/>
  <c r="F138" i="14"/>
  <c r="E139" i="14"/>
  <c r="F139" i="14"/>
  <c r="E140" i="14"/>
  <c r="F140" i="14"/>
  <c r="E141" i="14"/>
  <c r="F141" i="14"/>
  <c r="E142" i="14"/>
  <c r="F142" i="14"/>
  <c r="E143" i="14"/>
  <c r="F143" i="14"/>
  <c r="E144" i="14"/>
  <c r="F144" i="14"/>
  <c r="E145" i="14"/>
  <c r="F145" i="14"/>
  <c r="E146" i="14"/>
  <c r="F146" i="14"/>
  <c r="E147" i="14"/>
  <c r="F147" i="14"/>
  <c r="E148" i="14"/>
  <c r="F148" i="14"/>
  <c r="E149" i="14"/>
  <c r="F149" i="14"/>
  <c r="E150" i="14"/>
  <c r="F150" i="14"/>
  <c r="E151" i="14"/>
  <c r="F151" i="14"/>
  <c r="E152" i="14"/>
  <c r="F152" i="14"/>
  <c r="E153" i="14"/>
  <c r="F153" i="14"/>
  <c r="E154" i="14"/>
  <c r="F154" i="14"/>
  <c r="E155" i="14"/>
  <c r="F155" i="14"/>
  <c r="E156" i="14"/>
  <c r="F156" i="14"/>
  <c r="E157" i="14"/>
  <c r="F157" i="14"/>
  <c r="E158" i="14"/>
  <c r="F158" i="14"/>
  <c r="E159" i="14"/>
  <c r="F159" i="14"/>
  <c r="E160" i="14"/>
  <c r="F160" i="14"/>
  <c r="E161" i="14"/>
  <c r="F161" i="14"/>
  <c r="E162" i="14"/>
  <c r="F162" i="14"/>
  <c r="E163" i="14"/>
  <c r="F163" i="14"/>
  <c r="E164" i="14"/>
  <c r="F164" i="14"/>
  <c r="E165" i="14"/>
  <c r="F165" i="14"/>
  <c r="E166" i="14"/>
  <c r="F166" i="14"/>
  <c r="E167" i="14"/>
  <c r="F167" i="14"/>
  <c r="E168" i="14"/>
  <c r="F168" i="14"/>
  <c r="E169" i="14"/>
  <c r="F169" i="14"/>
  <c r="E170" i="14"/>
  <c r="F170" i="14"/>
  <c r="E171" i="14"/>
  <c r="F171" i="14"/>
  <c r="E172" i="14"/>
  <c r="F172" i="14"/>
  <c r="E173" i="14"/>
  <c r="F173" i="14"/>
  <c r="E174" i="14"/>
  <c r="F174" i="14"/>
  <c r="E175" i="14"/>
  <c r="F175" i="14"/>
  <c r="E176" i="14"/>
  <c r="F176" i="14"/>
  <c r="E177" i="14"/>
  <c r="F177" i="14"/>
  <c r="E178" i="14"/>
  <c r="F178" i="14"/>
  <c r="E179" i="14"/>
  <c r="F179" i="14"/>
  <c r="E180" i="14"/>
  <c r="F180" i="14"/>
  <c r="E181" i="14"/>
  <c r="F181" i="14"/>
  <c r="E182" i="14"/>
  <c r="F182" i="14"/>
  <c r="E183" i="14"/>
  <c r="F183" i="14"/>
  <c r="E184" i="14"/>
  <c r="F184" i="14"/>
  <c r="E185" i="14"/>
  <c r="F185" i="14"/>
  <c r="E186" i="14"/>
  <c r="F186" i="14"/>
  <c r="E187" i="14"/>
  <c r="F187" i="14"/>
  <c r="E188" i="14"/>
  <c r="F188" i="14"/>
  <c r="E189" i="14"/>
  <c r="F189" i="14"/>
  <c r="E190" i="14"/>
  <c r="F190" i="14"/>
  <c r="E191" i="14"/>
  <c r="F191" i="14"/>
  <c r="E192" i="14"/>
  <c r="F192" i="14"/>
  <c r="E193" i="14"/>
  <c r="F193" i="14"/>
  <c r="E194" i="14"/>
  <c r="F194" i="14"/>
  <c r="E195" i="14"/>
  <c r="F195" i="14"/>
  <c r="E196" i="14"/>
  <c r="F196" i="14"/>
  <c r="E197" i="14"/>
  <c r="F197" i="14"/>
  <c r="E198" i="14"/>
  <c r="F198" i="14"/>
  <c r="E199" i="14"/>
  <c r="F199" i="14"/>
  <c r="E200" i="14"/>
  <c r="F200" i="14"/>
  <c r="E201" i="14"/>
  <c r="F201" i="14"/>
  <c r="E202" i="14"/>
  <c r="F202" i="14"/>
  <c r="E203" i="14"/>
  <c r="F203" i="14"/>
  <c r="E204" i="14"/>
  <c r="F204" i="14"/>
  <c r="E205" i="14"/>
  <c r="F205" i="14"/>
  <c r="E206" i="14"/>
  <c r="F206" i="14"/>
  <c r="E207" i="14"/>
  <c r="F207" i="14"/>
  <c r="E208" i="14"/>
  <c r="F208" i="14"/>
  <c r="E209" i="14"/>
  <c r="F209" i="14"/>
  <c r="E210" i="14"/>
  <c r="F210" i="14"/>
  <c r="E211" i="14"/>
  <c r="F211" i="14"/>
  <c r="E212" i="14"/>
  <c r="F212" i="14"/>
  <c r="E213" i="14"/>
  <c r="F213" i="14"/>
  <c r="E214" i="14"/>
  <c r="F214" i="14"/>
  <c r="E215" i="14"/>
  <c r="F215" i="14"/>
  <c r="E216" i="14"/>
  <c r="F216" i="14"/>
  <c r="E217" i="14"/>
  <c r="F217" i="14"/>
  <c r="E218" i="14"/>
  <c r="F218" i="14"/>
  <c r="E219" i="14"/>
  <c r="F219" i="14"/>
  <c r="E220" i="14"/>
  <c r="F220" i="14"/>
  <c r="E221" i="14"/>
  <c r="F221" i="14"/>
  <c r="E222" i="14"/>
  <c r="F222" i="14"/>
  <c r="E223" i="14"/>
  <c r="F223" i="14"/>
  <c r="E224" i="14"/>
  <c r="F224" i="14"/>
  <c r="E225" i="14"/>
  <c r="F225" i="14"/>
  <c r="E226" i="14"/>
  <c r="F226" i="14"/>
  <c r="E227" i="14"/>
  <c r="F227" i="14"/>
  <c r="E228" i="14"/>
  <c r="F228" i="14"/>
  <c r="E229" i="14"/>
  <c r="F229" i="14"/>
  <c r="E230" i="14"/>
  <c r="F230" i="14"/>
  <c r="E231" i="14"/>
  <c r="F231" i="14"/>
  <c r="E232" i="14"/>
  <c r="F232" i="14"/>
  <c r="E233" i="14"/>
  <c r="F233" i="14"/>
  <c r="E234" i="14"/>
  <c r="F234" i="14"/>
  <c r="E235" i="14"/>
  <c r="F235" i="14"/>
  <c r="E236" i="14"/>
  <c r="F236" i="14"/>
  <c r="E237" i="14"/>
  <c r="F237" i="14"/>
  <c r="E238" i="14"/>
  <c r="F238" i="14"/>
  <c r="E239" i="14"/>
  <c r="F239" i="14"/>
  <c r="E240" i="14"/>
  <c r="F240" i="14"/>
  <c r="E241" i="14"/>
  <c r="F241" i="14"/>
  <c r="E242" i="14"/>
  <c r="F242" i="14"/>
  <c r="E243" i="14"/>
  <c r="F243" i="14"/>
  <c r="E244" i="14"/>
  <c r="F244" i="14"/>
  <c r="E245" i="14"/>
  <c r="F245" i="14"/>
  <c r="E246" i="14"/>
  <c r="F246" i="14"/>
  <c r="E247" i="14"/>
  <c r="F247" i="14"/>
  <c r="E248" i="14"/>
  <c r="F248" i="14"/>
  <c r="E249" i="14"/>
  <c r="F249" i="14"/>
  <c r="E250" i="14"/>
  <c r="F250" i="14"/>
  <c r="E251" i="14"/>
  <c r="F251" i="14"/>
  <c r="F2" i="14"/>
  <c r="E2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 s="1"/>
  <c r="D17" i="14" s="1"/>
  <c r="D18" i="14" s="1"/>
  <c r="D19" i="14" s="1"/>
  <c r="D20" i="14" s="1"/>
  <c r="D21" i="14" s="1"/>
  <c r="D22" i="14" s="1"/>
  <c r="D23" i="14" s="1"/>
  <c r="D24" i="14" s="1"/>
  <c r="D25" i="14" s="1"/>
  <c r="D26" i="14" s="1"/>
  <c r="D27" i="14" s="1"/>
  <c r="D28" i="14" s="1"/>
  <c r="D29" i="14" s="1"/>
  <c r="D30" i="14" s="1"/>
  <c r="D31" i="14" s="1"/>
  <c r="D32" i="14" s="1"/>
  <c r="D33" i="14" s="1"/>
  <c r="D34" i="14" s="1"/>
  <c r="D35" i="14" s="1"/>
  <c r="D36" i="14" s="1"/>
  <c r="D37" i="14" s="1"/>
  <c r="D38" i="14" s="1"/>
  <c r="D39" i="14" s="1"/>
  <c r="D40" i="14" s="1"/>
  <c r="D41" i="14" s="1"/>
  <c r="D42" i="14" s="1"/>
  <c r="D43" i="14" s="1"/>
  <c r="D44" i="14" s="1"/>
  <c r="D45" i="14" s="1"/>
  <c r="D46" i="14" s="1"/>
  <c r="D47" i="14" s="1"/>
  <c r="D48" i="14" s="1"/>
  <c r="D49" i="14" s="1"/>
  <c r="D50" i="14" s="1"/>
  <c r="D51" i="14" s="1"/>
  <c r="D52" i="14" s="1"/>
  <c r="D53" i="14" s="1"/>
  <c r="D54" i="14" s="1"/>
  <c r="D55" i="14" s="1"/>
  <c r="D56" i="14" s="1"/>
  <c r="D57" i="14" s="1"/>
  <c r="D58" i="14" s="1"/>
  <c r="D59" i="14" s="1"/>
  <c r="D60" i="14" s="1"/>
  <c r="D61" i="14" s="1"/>
  <c r="D62" i="14" s="1"/>
  <c r="D63" i="14" s="1"/>
  <c r="D64" i="14" s="1"/>
  <c r="D65" i="14" s="1"/>
  <c r="D66" i="14" s="1"/>
  <c r="D67" i="14" s="1"/>
  <c r="D68" i="14" s="1"/>
  <c r="D69" i="14" s="1"/>
  <c r="D70" i="14" s="1"/>
  <c r="D71" i="14" s="1"/>
  <c r="D72" i="14" s="1"/>
  <c r="D73" i="14" s="1"/>
  <c r="D74" i="14" s="1"/>
  <c r="D75" i="14" s="1"/>
  <c r="D76" i="14" s="1"/>
  <c r="D77" i="14" s="1"/>
  <c r="D78" i="14" s="1"/>
  <c r="D79" i="14" s="1"/>
  <c r="D80" i="14" s="1"/>
  <c r="D81" i="14" s="1"/>
  <c r="D82" i="14" s="1"/>
  <c r="D83" i="14" s="1"/>
  <c r="D84" i="14" s="1"/>
  <c r="D85" i="14" s="1"/>
  <c r="D86" i="14" s="1"/>
  <c r="D87" i="14" s="1"/>
  <c r="D88" i="14" s="1"/>
  <c r="D89" i="14" s="1"/>
  <c r="D90" i="14" s="1"/>
  <c r="D91" i="14" s="1"/>
  <c r="D92" i="14" s="1"/>
  <c r="D93" i="14" s="1"/>
  <c r="D94" i="14" s="1"/>
  <c r="D95" i="14" s="1"/>
  <c r="D96" i="14" s="1"/>
  <c r="D97" i="14" s="1"/>
  <c r="D98" i="14" s="1"/>
  <c r="D99" i="14" s="1"/>
  <c r="D100" i="14" s="1"/>
  <c r="D101" i="14" s="1"/>
  <c r="D102" i="14" s="1"/>
  <c r="D103" i="14" s="1"/>
  <c r="D104" i="14" s="1"/>
  <c r="D105" i="14" s="1"/>
  <c r="D106" i="14" s="1"/>
  <c r="D107" i="14" s="1"/>
  <c r="D108" i="14" s="1"/>
  <c r="D109" i="14" s="1"/>
  <c r="D110" i="14" s="1"/>
  <c r="D111" i="14" s="1"/>
  <c r="D112" i="14" s="1"/>
  <c r="D113" i="14" s="1"/>
  <c r="D114" i="14" s="1"/>
  <c r="D115" i="14" s="1"/>
  <c r="D116" i="14" s="1"/>
  <c r="D117" i="14" s="1"/>
  <c r="D118" i="14" s="1"/>
  <c r="D119" i="14" s="1"/>
  <c r="D120" i="14" s="1"/>
  <c r="D121" i="14" s="1"/>
  <c r="D122" i="14" s="1"/>
  <c r="D123" i="14" s="1"/>
  <c r="D124" i="14" s="1"/>
  <c r="D125" i="14" s="1"/>
  <c r="D126" i="14" s="1"/>
  <c r="D127" i="14" s="1"/>
  <c r="D128" i="14" s="1"/>
  <c r="D129" i="14" s="1"/>
  <c r="D130" i="14" s="1"/>
  <c r="D131" i="14" s="1"/>
  <c r="D132" i="14" s="1"/>
  <c r="D133" i="14" s="1"/>
  <c r="D134" i="14" s="1"/>
  <c r="D135" i="14" s="1"/>
  <c r="D136" i="14" s="1"/>
  <c r="D137" i="14" s="1"/>
  <c r="D138" i="14" s="1"/>
  <c r="D139" i="14" s="1"/>
  <c r="D140" i="14" s="1"/>
  <c r="D141" i="14" s="1"/>
  <c r="D142" i="14" s="1"/>
  <c r="D143" i="14" s="1"/>
  <c r="D144" i="14" s="1"/>
  <c r="D145" i="14" s="1"/>
  <c r="D146" i="14" s="1"/>
  <c r="D147" i="14" s="1"/>
  <c r="D148" i="14" s="1"/>
  <c r="D149" i="14" s="1"/>
  <c r="D150" i="14" s="1"/>
  <c r="D151" i="14" s="1"/>
  <c r="D152" i="14" s="1"/>
  <c r="D153" i="14" s="1"/>
  <c r="D154" i="14" s="1"/>
  <c r="D155" i="14" s="1"/>
  <c r="D156" i="14" s="1"/>
  <c r="D157" i="14" s="1"/>
  <c r="D158" i="14" s="1"/>
  <c r="D159" i="14" s="1"/>
  <c r="D160" i="14" s="1"/>
  <c r="D161" i="14" s="1"/>
  <c r="D162" i="14" s="1"/>
  <c r="D163" i="14" s="1"/>
  <c r="D164" i="14" s="1"/>
  <c r="D165" i="14" s="1"/>
  <c r="D166" i="14" s="1"/>
  <c r="D167" i="14" s="1"/>
  <c r="D168" i="14" s="1"/>
  <c r="D169" i="14" s="1"/>
  <c r="D170" i="14" s="1"/>
  <c r="D171" i="14" s="1"/>
  <c r="D172" i="14" s="1"/>
  <c r="D173" i="14" s="1"/>
  <c r="D174" i="14" s="1"/>
  <c r="D175" i="14" s="1"/>
  <c r="D176" i="14" s="1"/>
  <c r="D177" i="14" s="1"/>
  <c r="D178" i="14" s="1"/>
  <c r="D179" i="14" s="1"/>
  <c r="D180" i="14" s="1"/>
  <c r="D181" i="14" s="1"/>
  <c r="D182" i="14" s="1"/>
  <c r="D183" i="14" s="1"/>
  <c r="D184" i="14" s="1"/>
  <c r="D185" i="14" s="1"/>
  <c r="D186" i="14" s="1"/>
  <c r="D187" i="14" s="1"/>
  <c r="D188" i="14" s="1"/>
  <c r="D189" i="14" s="1"/>
  <c r="D190" i="14" s="1"/>
  <c r="D191" i="14" s="1"/>
  <c r="D192" i="14" s="1"/>
  <c r="D193" i="14" s="1"/>
  <c r="D194" i="14" s="1"/>
  <c r="D195" i="14" s="1"/>
  <c r="D196" i="14" s="1"/>
  <c r="D197" i="14" s="1"/>
  <c r="D198" i="14" s="1"/>
  <c r="D199" i="14" s="1"/>
  <c r="D200" i="14" s="1"/>
  <c r="D201" i="14" s="1"/>
  <c r="D202" i="14" s="1"/>
  <c r="D203" i="14" s="1"/>
  <c r="D204" i="14" s="1"/>
  <c r="D205" i="14" s="1"/>
  <c r="D206" i="14" s="1"/>
  <c r="D207" i="14" s="1"/>
  <c r="D208" i="14" s="1"/>
  <c r="D209" i="14" s="1"/>
  <c r="D210" i="14" s="1"/>
  <c r="D211" i="14" s="1"/>
  <c r="D212" i="14" s="1"/>
  <c r="D213" i="14" s="1"/>
  <c r="D214" i="14" s="1"/>
  <c r="D215" i="14" s="1"/>
  <c r="D216" i="14" s="1"/>
  <c r="D217" i="14" s="1"/>
  <c r="D218" i="14" s="1"/>
  <c r="D219" i="14" s="1"/>
  <c r="D220" i="14" s="1"/>
  <c r="D221" i="14" s="1"/>
  <c r="D222" i="14" s="1"/>
  <c r="D223" i="14" s="1"/>
  <c r="D224" i="14" s="1"/>
  <c r="D225" i="14" s="1"/>
  <c r="D226" i="14" s="1"/>
  <c r="D227" i="14" s="1"/>
  <c r="D228" i="14" s="1"/>
  <c r="D229" i="14" s="1"/>
  <c r="D230" i="14" s="1"/>
  <c r="D231" i="14" s="1"/>
  <c r="D232" i="14" s="1"/>
  <c r="D233" i="14" s="1"/>
  <c r="D234" i="14" s="1"/>
  <c r="D235" i="14" s="1"/>
  <c r="D236" i="14" s="1"/>
  <c r="D237" i="14" s="1"/>
  <c r="D238" i="14" s="1"/>
  <c r="D239" i="14" s="1"/>
  <c r="D240" i="14" s="1"/>
  <c r="D241" i="14" s="1"/>
  <c r="D242" i="14" s="1"/>
  <c r="D243" i="14" s="1"/>
  <c r="D244" i="14" s="1"/>
  <c r="D245" i="14" s="1"/>
  <c r="D246" i="14" s="1"/>
  <c r="D247" i="14" s="1"/>
  <c r="D248" i="14" s="1"/>
  <c r="D249" i="14" s="1"/>
  <c r="D250" i="14" s="1"/>
  <c r="D251" i="14" s="1"/>
  <c r="D3" i="14"/>
  <c r="C4" i="14"/>
  <c r="C5" i="14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C79" i="14" s="1"/>
  <c r="C80" i="14" s="1"/>
  <c r="C81" i="14" s="1"/>
  <c r="C82" i="14" s="1"/>
  <c r="C83" i="14" s="1"/>
  <c r="C84" i="14" s="1"/>
  <c r="C85" i="14" s="1"/>
  <c r="C86" i="14" s="1"/>
  <c r="C87" i="14" s="1"/>
  <c r="C88" i="14" s="1"/>
  <c r="C89" i="14" s="1"/>
  <c r="C90" i="14" s="1"/>
  <c r="C91" i="14" s="1"/>
  <c r="C92" i="14" s="1"/>
  <c r="C93" i="14" s="1"/>
  <c r="C94" i="14" s="1"/>
  <c r="C95" i="14" s="1"/>
  <c r="C96" i="14" s="1"/>
  <c r="C97" i="14" s="1"/>
  <c r="C98" i="14" s="1"/>
  <c r="C99" i="14" s="1"/>
  <c r="C100" i="14" s="1"/>
  <c r="C101" i="14" s="1"/>
  <c r="C102" i="14" s="1"/>
  <c r="C103" i="14" s="1"/>
  <c r="C104" i="14" s="1"/>
  <c r="C105" i="14" s="1"/>
  <c r="C106" i="14" s="1"/>
  <c r="C107" i="14" s="1"/>
  <c r="C108" i="14" s="1"/>
  <c r="C109" i="14" s="1"/>
  <c r="C110" i="14" s="1"/>
  <c r="C111" i="14" s="1"/>
  <c r="C112" i="14" s="1"/>
  <c r="C113" i="14" s="1"/>
  <c r="C114" i="14" s="1"/>
  <c r="C115" i="14" s="1"/>
  <c r="C116" i="14" s="1"/>
  <c r="C117" i="14" s="1"/>
  <c r="C118" i="14" s="1"/>
  <c r="C119" i="14" s="1"/>
  <c r="C120" i="14" s="1"/>
  <c r="C121" i="14" s="1"/>
  <c r="C122" i="14" s="1"/>
  <c r="C123" i="14" s="1"/>
  <c r="C124" i="14" s="1"/>
  <c r="C125" i="14" s="1"/>
  <c r="C126" i="14" s="1"/>
  <c r="C127" i="14" s="1"/>
  <c r="C128" i="14" s="1"/>
  <c r="C129" i="14" s="1"/>
  <c r="C130" i="14" s="1"/>
  <c r="C131" i="14" s="1"/>
  <c r="C132" i="14" s="1"/>
  <c r="C133" i="14" s="1"/>
  <c r="C134" i="14" s="1"/>
  <c r="C135" i="14" s="1"/>
  <c r="C136" i="14" s="1"/>
  <c r="C137" i="14" s="1"/>
  <c r="C138" i="14" s="1"/>
  <c r="C139" i="14" s="1"/>
  <c r="C140" i="14" s="1"/>
  <c r="C141" i="14" s="1"/>
  <c r="C142" i="14" s="1"/>
  <c r="C143" i="14" s="1"/>
  <c r="C144" i="14" s="1"/>
  <c r="C145" i="14" s="1"/>
  <c r="C146" i="14" s="1"/>
  <c r="C147" i="14" s="1"/>
  <c r="C148" i="14" s="1"/>
  <c r="C149" i="14" s="1"/>
  <c r="C150" i="14" s="1"/>
  <c r="C151" i="14" s="1"/>
  <c r="C152" i="14" s="1"/>
  <c r="C153" i="14" s="1"/>
  <c r="C154" i="14" s="1"/>
  <c r="C155" i="14" s="1"/>
  <c r="C156" i="14" s="1"/>
  <c r="C157" i="14" s="1"/>
  <c r="C158" i="14" s="1"/>
  <c r="C159" i="14" s="1"/>
  <c r="C160" i="14" s="1"/>
  <c r="C161" i="14" s="1"/>
  <c r="C162" i="14" s="1"/>
  <c r="C163" i="14" s="1"/>
  <c r="C164" i="14" s="1"/>
  <c r="C165" i="14" s="1"/>
  <c r="C166" i="14" s="1"/>
  <c r="C167" i="14" s="1"/>
  <c r="C168" i="14" s="1"/>
  <c r="C169" i="14" s="1"/>
  <c r="C170" i="14" s="1"/>
  <c r="C171" i="14" s="1"/>
  <c r="C172" i="14" s="1"/>
  <c r="C173" i="14" s="1"/>
  <c r="C174" i="14" s="1"/>
  <c r="C175" i="14" s="1"/>
  <c r="C176" i="14" s="1"/>
  <c r="C177" i="14" s="1"/>
  <c r="C178" i="14" s="1"/>
  <c r="C179" i="14" s="1"/>
  <c r="C180" i="14" s="1"/>
  <c r="C181" i="14" s="1"/>
  <c r="C182" i="14" s="1"/>
  <c r="C183" i="14" s="1"/>
  <c r="C184" i="14" s="1"/>
  <c r="C185" i="14" s="1"/>
  <c r="C186" i="14" s="1"/>
  <c r="C187" i="14" s="1"/>
  <c r="C188" i="14" s="1"/>
  <c r="C189" i="14" s="1"/>
  <c r="C190" i="14" s="1"/>
  <c r="C191" i="14" s="1"/>
  <c r="C192" i="14" s="1"/>
  <c r="C193" i="14" s="1"/>
  <c r="C194" i="14" s="1"/>
  <c r="C195" i="14" s="1"/>
  <c r="C196" i="14" s="1"/>
  <c r="C197" i="14" s="1"/>
  <c r="C198" i="14" s="1"/>
  <c r="C199" i="14" s="1"/>
  <c r="C200" i="14" s="1"/>
  <c r="C201" i="14" s="1"/>
  <c r="C202" i="14" s="1"/>
  <c r="C203" i="14" s="1"/>
  <c r="C204" i="14" s="1"/>
  <c r="C205" i="14" s="1"/>
  <c r="C206" i="14" s="1"/>
  <c r="C207" i="14" s="1"/>
  <c r="C208" i="14" s="1"/>
  <c r="C209" i="14" s="1"/>
  <c r="C210" i="14" s="1"/>
  <c r="C211" i="14" s="1"/>
  <c r="C212" i="14" s="1"/>
  <c r="C213" i="14" s="1"/>
  <c r="C214" i="14" s="1"/>
  <c r="C215" i="14" s="1"/>
  <c r="C216" i="14" s="1"/>
  <c r="C217" i="14" s="1"/>
  <c r="C218" i="14" s="1"/>
  <c r="C219" i="14" s="1"/>
  <c r="C220" i="14" s="1"/>
  <c r="C221" i="14" s="1"/>
  <c r="C222" i="14" s="1"/>
  <c r="C223" i="14" s="1"/>
  <c r="C224" i="14" s="1"/>
  <c r="C225" i="14" s="1"/>
  <c r="C226" i="14" s="1"/>
  <c r="C227" i="14" s="1"/>
  <c r="C228" i="14" s="1"/>
  <c r="C229" i="14" s="1"/>
  <c r="C230" i="14" s="1"/>
  <c r="C231" i="14" s="1"/>
  <c r="C232" i="14" s="1"/>
  <c r="C233" i="14" s="1"/>
  <c r="C234" i="14" s="1"/>
  <c r="C235" i="14" s="1"/>
  <c r="C236" i="14" s="1"/>
  <c r="C237" i="14" s="1"/>
  <c r="C238" i="14" s="1"/>
  <c r="C239" i="14" s="1"/>
  <c r="C240" i="14" s="1"/>
  <c r="C241" i="14" s="1"/>
  <c r="C242" i="14" s="1"/>
  <c r="C243" i="14" s="1"/>
  <c r="C244" i="14" s="1"/>
  <c r="C245" i="14" s="1"/>
  <c r="C246" i="14" s="1"/>
  <c r="C247" i="14" s="1"/>
  <c r="C248" i="14" s="1"/>
  <c r="C249" i="14" s="1"/>
  <c r="C250" i="14" s="1"/>
  <c r="C251" i="14" s="1"/>
  <c r="C3" i="14"/>
  <c r="J8" i="11"/>
  <c r="B8" i="13"/>
  <c r="M4" i="13"/>
  <c r="M5" i="13"/>
  <c r="M6" i="13"/>
  <c r="M7" i="13"/>
  <c r="M3" i="13"/>
  <c r="K4" i="12"/>
  <c r="L4" i="12"/>
  <c r="M4" i="12"/>
  <c r="N4" i="12"/>
  <c r="O4" i="12"/>
  <c r="K5" i="12"/>
  <c r="L5" i="12"/>
  <c r="M5" i="12"/>
  <c r="N5" i="12"/>
  <c r="O5" i="12"/>
  <c r="K6" i="12"/>
  <c r="L6" i="12"/>
  <c r="M6" i="12"/>
  <c r="N6" i="12"/>
  <c r="O6" i="12"/>
  <c r="K7" i="12"/>
  <c r="L7" i="12"/>
  <c r="M7" i="12"/>
  <c r="N7" i="12"/>
  <c r="O7" i="12"/>
  <c r="J7" i="12"/>
  <c r="J6" i="12"/>
  <c r="J5" i="12"/>
  <c r="J4" i="12"/>
  <c r="K3" i="12"/>
  <c r="L3" i="12"/>
  <c r="M3" i="12"/>
  <c r="N3" i="12"/>
  <c r="O3" i="12"/>
  <c r="J3" i="12"/>
  <c r="J2" i="12"/>
  <c r="L2" i="12"/>
  <c r="M2" i="12"/>
  <c r="N2" i="12"/>
  <c r="O2" i="12"/>
  <c r="K2" i="12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I226" i="11" s="1"/>
  <c r="H166" i="11"/>
  <c r="I225" i="11" s="1"/>
  <c r="H165" i="11"/>
  <c r="I224" i="11" s="1"/>
  <c r="H164" i="11"/>
  <c r="I223" i="11" s="1"/>
  <c r="H163" i="11"/>
  <c r="I222" i="11" s="1"/>
  <c r="H162" i="11"/>
  <c r="I221" i="11" s="1"/>
  <c r="H161" i="11"/>
  <c r="I220" i="11" s="1"/>
  <c r="H160" i="11"/>
  <c r="I219" i="11" s="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I205" i="11" s="1"/>
  <c r="H145" i="11"/>
  <c r="I204" i="11" s="1"/>
  <c r="H144" i="11"/>
  <c r="I203" i="11" s="1"/>
  <c r="H143" i="11"/>
  <c r="I202" i="11" s="1"/>
  <c r="H142" i="11"/>
  <c r="H141" i="11"/>
  <c r="H140" i="11"/>
  <c r="H139" i="11"/>
  <c r="H138" i="11"/>
  <c r="H137" i="11"/>
  <c r="H136" i="11"/>
  <c r="I195" i="11" s="1"/>
  <c r="H135" i="11"/>
  <c r="I194" i="11" s="1"/>
  <c r="H134" i="11"/>
  <c r="I193" i="11" s="1"/>
  <c r="H133" i="11"/>
  <c r="H132" i="11"/>
  <c r="H131" i="11"/>
  <c r="I190" i="11" s="1"/>
  <c r="H130" i="11"/>
  <c r="I189" i="11" s="1"/>
  <c r="H129" i="11"/>
  <c r="I188" i="11" s="1"/>
  <c r="H128" i="11"/>
  <c r="I187" i="11" s="1"/>
  <c r="H127" i="11"/>
  <c r="I186" i="11" s="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I149" i="11" s="1"/>
  <c r="H89" i="11"/>
  <c r="I148" i="11" s="1"/>
  <c r="H88" i="11"/>
  <c r="I147" i="11" s="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C27" i="2"/>
  <c r="D27" i="2"/>
  <c r="C28" i="2"/>
  <c r="D28" i="2"/>
  <c r="C29" i="2"/>
  <c r="D29" i="2"/>
  <c r="C30" i="2"/>
  <c r="D30" i="2"/>
  <c r="D26" i="2"/>
  <c r="C26" i="2"/>
  <c r="I218" i="11" l="1"/>
  <c r="I214" i="11"/>
  <c r="I208" i="11"/>
  <c r="I206" i="11"/>
  <c r="I200" i="11"/>
  <c r="I199" i="11"/>
  <c r="I196" i="11"/>
  <c r="I191" i="11"/>
  <c r="I227" i="11"/>
  <c r="I216" i="11"/>
  <c r="I213" i="11"/>
  <c r="I207" i="11"/>
  <c r="I198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I173" i="11"/>
  <c r="I172" i="11"/>
  <c r="I171" i="11"/>
  <c r="I170" i="11"/>
  <c r="I169" i="11"/>
  <c r="I168" i="11"/>
  <c r="I167" i="11"/>
  <c r="I166" i="11"/>
  <c r="K166" i="11" s="1"/>
  <c r="L166" i="11" s="1"/>
  <c r="I165" i="11"/>
  <c r="I162" i="11"/>
  <c r="I154" i="11"/>
  <c r="I153" i="11"/>
  <c r="I152" i="11"/>
  <c r="I151" i="11"/>
  <c r="I150" i="11"/>
  <c r="I201" i="11"/>
  <c r="I192" i="11"/>
  <c r="I217" i="11"/>
  <c r="I215" i="11"/>
  <c r="I209" i="11"/>
  <c r="I197" i="11"/>
  <c r="I251" i="11"/>
  <c r="I248" i="11"/>
  <c r="I247" i="11"/>
  <c r="I244" i="11"/>
  <c r="I240" i="11"/>
  <c r="I236" i="11"/>
  <c r="I233" i="11"/>
  <c r="I228" i="11"/>
  <c r="I211" i="11"/>
  <c r="I158" i="11"/>
  <c r="I143" i="11"/>
  <c r="I142" i="11"/>
  <c r="I141" i="11"/>
  <c r="I140" i="11"/>
  <c r="I139" i="11"/>
  <c r="I138" i="11"/>
  <c r="I13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163" i="11"/>
  <c r="I159" i="11"/>
  <c r="I156" i="11"/>
  <c r="I146" i="11"/>
  <c r="I145" i="11"/>
  <c r="I14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212" i="11"/>
  <c r="I243" i="11"/>
  <c r="I239" i="11"/>
  <c r="I235" i="11"/>
  <c r="I231" i="11"/>
  <c r="I164" i="11"/>
  <c r="I161" i="11"/>
  <c r="I157" i="11"/>
  <c r="I249" i="11"/>
  <c r="I245" i="11"/>
  <c r="I241" i="11"/>
  <c r="I238" i="11"/>
  <c r="I234" i="11"/>
  <c r="I230" i="11"/>
  <c r="I155" i="11"/>
  <c r="I250" i="11"/>
  <c r="I246" i="11"/>
  <c r="I242" i="11"/>
  <c r="I237" i="11"/>
  <c r="I232" i="11"/>
  <c r="I229" i="11"/>
  <c r="I210" i="11"/>
  <c r="I160" i="11"/>
  <c r="J250" i="11"/>
  <c r="K250" i="11"/>
  <c r="L250" i="11" s="1"/>
  <c r="K246" i="11"/>
  <c r="L246" i="11" s="1"/>
  <c r="J246" i="11"/>
  <c r="K242" i="11"/>
  <c r="L242" i="11" s="1"/>
  <c r="J242" i="11"/>
  <c r="K227" i="11"/>
  <c r="L227" i="11" s="1"/>
  <c r="J227" i="11"/>
  <c r="K226" i="11"/>
  <c r="L226" i="11" s="1"/>
  <c r="J226" i="11"/>
  <c r="J225" i="11"/>
  <c r="K225" i="11"/>
  <c r="L225" i="11" s="1"/>
  <c r="J224" i="11"/>
  <c r="K224" i="11"/>
  <c r="L224" i="11" s="1"/>
  <c r="K223" i="11"/>
  <c r="L223" i="11" s="1"/>
  <c r="J223" i="11"/>
  <c r="K222" i="11"/>
  <c r="L222" i="11" s="1"/>
  <c r="J222" i="11"/>
  <c r="J221" i="11"/>
  <c r="K221" i="11"/>
  <c r="L221" i="11" s="1"/>
  <c r="J220" i="11"/>
  <c r="K220" i="11"/>
  <c r="L220" i="11" s="1"/>
  <c r="K219" i="11"/>
  <c r="L219" i="11" s="1"/>
  <c r="J219" i="11"/>
  <c r="K218" i="11"/>
  <c r="L218" i="11" s="1"/>
  <c r="J218" i="11"/>
  <c r="K216" i="11"/>
  <c r="L216" i="11" s="1"/>
  <c r="J216" i="11"/>
  <c r="J214" i="11"/>
  <c r="K214" i="11"/>
  <c r="L214" i="11" s="1"/>
  <c r="K213" i="11"/>
  <c r="L213" i="11" s="1"/>
  <c r="J213" i="11"/>
  <c r="J208" i="11"/>
  <c r="K208" i="11"/>
  <c r="L208" i="11" s="1"/>
  <c r="K207" i="11"/>
  <c r="L207" i="11" s="1"/>
  <c r="J207" i="11"/>
  <c r="K206" i="11"/>
  <c r="L206" i="11" s="1"/>
  <c r="J206" i="11"/>
  <c r="K205" i="11"/>
  <c r="L205" i="11" s="1"/>
  <c r="J205" i="11"/>
  <c r="J204" i="11"/>
  <c r="K204" i="11"/>
  <c r="L204" i="11" s="1"/>
  <c r="K203" i="11"/>
  <c r="L203" i="11" s="1"/>
  <c r="J203" i="11"/>
  <c r="J202" i="11"/>
  <c r="K202" i="11"/>
  <c r="L202" i="11" s="1"/>
  <c r="K200" i="11"/>
  <c r="L200" i="11" s="1"/>
  <c r="J200" i="11"/>
  <c r="K199" i="11"/>
  <c r="L199" i="11" s="1"/>
  <c r="J199" i="11"/>
  <c r="J198" i="11"/>
  <c r="K198" i="11"/>
  <c r="L198" i="11" s="1"/>
  <c r="K196" i="11"/>
  <c r="L196" i="11" s="1"/>
  <c r="J196" i="11"/>
  <c r="J195" i="11"/>
  <c r="K195" i="11"/>
  <c r="L195" i="11" s="1"/>
  <c r="K194" i="11"/>
  <c r="L194" i="11" s="1"/>
  <c r="J194" i="11"/>
  <c r="K193" i="11"/>
  <c r="L193" i="11" s="1"/>
  <c r="J193" i="11"/>
  <c r="J191" i="11"/>
  <c r="K191" i="11"/>
  <c r="L191" i="11" s="1"/>
  <c r="K190" i="11"/>
  <c r="L190" i="11" s="1"/>
  <c r="J190" i="11"/>
  <c r="K189" i="11"/>
  <c r="L189" i="11" s="1"/>
  <c r="J189" i="11"/>
  <c r="K188" i="11"/>
  <c r="L188" i="11" s="1"/>
  <c r="J188" i="11"/>
  <c r="J187" i="11"/>
  <c r="K187" i="11"/>
  <c r="L187" i="11" s="1"/>
  <c r="K186" i="11"/>
  <c r="L186" i="11" s="1"/>
  <c r="J186" i="11"/>
  <c r="K185" i="11"/>
  <c r="L185" i="11" s="1"/>
  <c r="J185" i="11"/>
  <c r="J184" i="11"/>
  <c r="K184" i="11"/>
  <c r="L184" i="11" s="1"/>
  <c r="K183" i="11"/>
  <c r="L183" i="11" s="1"/>
  <c r="J183" i="11"/>
  <c r="K182" i="11"/>
  <c r="L182" i="11" s="1"/>
  <c r="J182" i="11"/>
  <c r="J181" i="11"/>
  <c r="K181" i="11"/>
  <c r="L181" i="11" s="1"/>
  <c r="K180" i="11"/>
  <c r="L180" i="11" s="1"/>
  <c r="J180" i="11"/>
  <c r="K179" i="11"/>
  <c r="L179" i="11" s="1"/>
  <c r="J179" i="11"/>
  <c r="K178" i="11"/>
  <c r="L178" i="11" s="1"/>
  <c r="J178" i="11"/>
  <c r="J177" i="11"/>
  <c r="K177" i="11"/>
  <c r="L177" i="11" s="1"/>
  <c r="K176" i="11"/>
  <c r="L176" i="11" s="1"/>
  <c r="J176" i="11"/>
  <c r="K175" i="11"/>
  <c r="L175" i="11" s="1"/>
  <c r="J175" i="11"/>
  <c r="K174" i="11"/>
  <c r="L174" i="11" s="1"/>
  <c r="J174" i="11"/>
  <c r="J173" i="11"/>
  <c r="K173" i="11"/>
  <c r="L173" i="11" s="1"/>
  <c r="K172" i="11"/>
  <c r="L172" i="11" s="1"/>
  <c r="J172" i="11"/>
  <c r="K171" i="11"/>
  <c r="L171" i="11" s="1"/>
  <c r="J171" i="11"/>
  <c r="J170" i="11"/>
  <c r="K170" i="11"/>
  <c r="L170" i="11" s="1"/>
  <c r="K169" i="11"/>
  <c r="L169" i="11" s="1"/>
  <c r="J169" i="11"/>
  <c r="K168" i="11"/>
  <c r="L168" i="11" s="1"/>
  <c r="J168" i="11"/>
  <c r="K167" i="11"/>
  <c r="L167" i="11" s="1"/>
  <c r="J167" i="11"/>
  <c r="J166" i="11"/>
  <c r="J149" i="11"/>
  <c r="K149" i="11"/>
  <c r="L149" i="11" s="1"/>
  <c r="K148" i="11"/>
  <c r="L148" i="11" s="1"/>
  <c r="J148" i="11"/>
  <c r="K147" i="11"/>
  <c r="L147" i="11" s="1"/>
  <c r="J147" i="11"/>
  <c r="I70" i="11"/>
  <c r="I74" i="11"/>
  <c r="I61" i="11"/>
  <c r="I63" i="11"/>
  <c r="I67" i="11"/>
  <c r="I65" i="11"/>
  <c r="I71" i="11"/>
  <c r="I69" i="11"/>
  <c r="I76" i="11"/>
  <c r="I64" i="11"/>
  <c r="I68" i="11"/>
  <c r="I75" i="11"/>
  <c r="I73" i="11"/>
  <c r="I62" i="11"/>
  <c r="I66" i="11"/>
  <c r="I72" i="11"/>
  <c r="J13" i="11"/>
  <c r="J12" i="11"/>
  <c r="J20" i="11"/>
  <c r="J21" i="11"/>
  <c r="K165" i="11" l="1"/>
  <c r="L165" i="11" s="1"/>
  <c r="J165" i="11"/>
  <c r="J162" i="11"/>
  <c r="K162" i="11"/>
  <c r="L162" i="11" s="1"/>
  <c r="K154" i="11"/>
  <c r="L154" i="11" s="1"/>
  <c r="J154" i="11"/>
  <c r="K153" i="11"/>
  <c r="L153" i="11" s="1"/>
  <c r="J153" i="11"/>
  <c r="K152" i="11"/>
  <c r="L152" i="11" s="1"/>
  <c r="J152" i="11"/>
  <c r="K151" i="11"/>
  <c r="L151" i="11" s="1"/>
  <c r="J151" i="11"/>
  <c r="K150" i="11"/>
  <c r="L150" i="11" s="1"/>
  <c r="J150" i="11"/>
  <c r="K201" i="11"/>
  <c r="L201" i="11" s="1"/>
  <c r="J201" i="11"/>
  <c r="K192" i="11"/>
  <c r="L192" i="11" s="1"/>
  <c r="J192" i="11"/>
  <c r="J217" i="11"/>
  <c r="K217" i="11"/>
  <c r="L217" i="11" s="1"/>
  <c r="K215" i="11"/>
  <c r="L215" i="11" s="1"/>
  <c r="J215" i="11"/>
  <c r="K209" i="11"/>
  <c r="L209" i="11" s="1"/>
  <c r="J209" i="11"/>
  <c r="K197" i="11"/>
  <c r="L197" i="11" s="1"/>
  <c r="J197" i="11"/>
  <c r="K210" i="11"/>
  <c r="L210" i="11" s="1"/>
  <c r="J210" i="11"/>
  <c r="K160" i="11"/>
  <c r="L160" i="11" s="1"/>
  <c r="J160" i="11"/>
  <c r="J251" i="11"/>
  <c r="K251" i="11"/>
  <c r="L251" i="11" s="1"/>
  <c r="K248" i="11"/>
  <c r="L248" i="11" s="1"/>
  <c r="J248" i="11"/>
  <c r="K247" i="11"/>
  <c r="L247" i="11" s="1"/>
  <c r="J247" i="11"/>
  <c r="J244" i="11"/>
  <c r="K244" i="11"/>
  <c r="L244" i="11" s="1"/>
  <c r="J240" i="11"/>
  <c r="K240" i="11"/>
  <c r="L240" i="11" s="1"/>
  <c r="J236" i="11"/>
  <c r="K236" i="11"/>
  <c r="L236" i="11" s="1"/>
  <c r="J233" i="11"/>
  <c r="K233" i="11"/>
  <c r="L233" i="11" s="1"/>
  <c r="J228" i="11"/>
  <c r="K228" i="11"/>
  <c r="L228" i="11" s="1"/>
  <c r="K211" i="11"/>
  <c r="L211" i="11" s="1"/>
  <c r="J211" i="11"/>
  <c r="J158" i="11"/>
  <c r="K158" i="11"/>
  <c r="L158" i="11" s="1"/>
  <c r="J143" i="11"/>
  <c r="K143" i="11"/>
  <c r="L143" i="11" s="1"/>
  <c r="K142" i="11"/>
  <c r="L142" i="11" s="1"/>
  <c r="J142" i="11"/>
  <c r="K141" i="11"/>
  <c r="L141" i="11" s="1"/>
  <c r="J141" i="11"/>
  <c r="J140" i="11"/>
  <c r="K140" i="11"/>
  <c r="L140" i="11" s="1"/>
  <c r="K139" i="11"/>
  <c r="L139" i="11" s="1"/>
  <c r="J139" i="11"/>
  <c r="K138" i="11"/>
  <c r="L138" i="11" s="1"/>
  <c r="J138" i="11"/>
  <c r="K137" i="11"/>
  <c r="L137" i="11" s="1"/>
  <c r="J137" i="11"/>
  <c r="J136" i="11"/>
  <c r="K136" i="11"/>
  <c r="L136" i="11" s="1"/>
  <c r="K135" i="11"/>
  <c r="L135" i="11" s="1"/>
  <c r="J135" i="11"/>
  <c r="K134" i="11"/>
  <c r="L134" i="11" s="1"/>
  <c r="J134" i="11"/>
  <c r="J133" i="11"/>
  <c r="K133" i="11"/>
  <c r="L133" i="11" s="1"/>
  <c r="K132" i="11"/>
  <c r="L132" i="11" s="1"/>
  <c r="J132" i="11"/>
  <c r="K131" i="11"/>
  <c r="L131" i="11" s="1"/>
  <c r="J131" i="11"/>
  <c r="J130" i="11"/>
  <c r="K130" i="11"/>
  <c r="L130" i="11" s="1"/>
  <c r="K129" i="11"/>
  <c r="L129" i="11" s="1"/>
  <c r="J129" i="11"/>
  <c r="J128" i="11"/>
  <c r="K128" i="11"/>
  <c r="L128" i="11" s="1"/>
  <c r="K127" i="11"/>
  <c r="L127" i="11" s="1"/>
  <c r="J127" i="11"/>
  <c r="J126" i="11"/>
  <c r="K126" i="11"/>
  <c r="L126" i="11" s="1"/>
  <c r="K125" i="11"/>
  <c r="L125" i="11" s="1"/>
  <c r="J125" i="11"/>
  <c r="K124" i="11"/>
  <c r="L124" i="11" s="1"/>
  <c r="J124" i="11"/>
  <c r="J123" i="11"/>
  <c r="K123" i="11"/>
  <c r="L123" i="11" s="1"/>
  <c r="K122" i="11"/>
  <c r="L122" i="11" s="1"/>
  <c r="J122" i="11"/>
  <c r="K121" i="11"/>
  <c r="L121" i="11" s="1"/>
  <c r="J121" i="11"/>
  <c r="K120" i="11"/>
  <c r="L120" i="11" s="1"/>
  <c r="J120" i="11"/>
  <c r="J119" i="11"/>
  <c r="K119" i="11"/>
  <c r="L119" i="11" s="1"/>
  <c r="J118" i="11"/>
  <c r="K118" i="11"/>
  <c r="L118" i="11" s="1"/>
  <c r="K117" i="11"/>
  <c r="L117" i="11" s="1"/>
  <c r="J117" i="11"/>
  <c r="J116" i="11"/>
  <c r="K116" i="11"/>
  <c r="L116" i="11" s="1"/>
  <c r="J115" i="11"/>
  <c r="K115" i="11"/>
  <c r="L115" i="11" s="1"/>
  <c r="J114" i="11"/>
  <c r="K114" i="11"/>
  <c r="L114" i="11" s="1"/>
  <c r="J113" i="11"/>
  <c r="K113" i="11"/>
  <c r="L113" i="11" s="1"/>
  <c r="J112" i="11"/>
  <c r="K112" i="11"/>
  <c r="L112" i="11" s="1"/>
  <c r="K111" i="11"/>
  <c r="L111" i="11" s="1"/>
  <c r="J111" i="11"/>
  <c r="J110" i="11"/>
  <c r="K110" i="11"/>
  <c r="L110" i="11" s="1"/>
  <c r="K109" i="11"/>
  <c r="L109" i="11" s="1"/>
  <c r="J109" i="11"/>
  <c r="J108" i="11"/>
  <c r="K108" i="11"/>
  <c r="L108" i="11" s="1"/>
  <c r="K107" i="11"/>
  <c r="L107" i="11" s="1"/>
  <c r="J107" i="11"/>
  <c r="K106" i="11"/>
  <c r="L106" i="11" s="1"/>
  <c r="J106" i="11"/>
  <c r="K105" i="11"/>
  <c r="L105" i="11" s="1"/>
  <c r="J105" i="11"/>
  <c r="K104" i="11"/>
  <c r="L104" i="11" s="1"/>
  <c r="J104" i="11"/>
  <c r="J103" i="11"/>
  <c r="K103" i="11"/>
  <c r="L103" i="11" s="1"/>
  <c r="K102" i="11"/>
  <c r="L102" i="11" s="1"/>
  <c r="J102" i="11"/>
  <c r="K101" i="11"/>
  <c r="L101" i="11" s="1"/>
  <c r="J101" i="11"/>
  <c r="J100" i="11"/>
  <c r="K100" i="11"/>
  <c r="L100" i="11" s="1"/>
  <c r="J99" i="11"/>
  <c r="K99" i="11"/>
  <c r="L99" i="11" s="1"/>
  <c r="K98" i="11"/>
  <c r="L98" i="11" s="1"/>
  <c r="J98" i="11"/>
  <c r="K97" i="11"/>
  <c r="L97" i="11" s="1"/>
  <c r="J97" i="11"/>
  <c r="K96" i="11"/>
  <c r="L96" i="11" s="1"/>
  <c r="J96" i="11"/>
  <c r="J95" i="11"/>
  <c r="K95" i="11"/>
  <c r="L95" i="11" s="1"/>
  <c r="J94" i="11"/>
  <c r="K94" i="11"/>
  <c r="L94" i="11" s="1"/>
  <c r="J163" i="11"/>
  <c r="K163" i="11"/>
  <c r="L163" i="11" s="1"/>
  <c r="J159" i="11"/>
  <c r="K159" i="11"/>
  <c r="L159" i="11" s="1"/>
  <c r="J156" i="11"/>
  <c r="K156" i="11"/>
  <c r="L156" i="11" s="1"/>
  <c r="K146" i="11"/>
  <c r="L146" i="11" s="1"/>
  <c r="J146" i="11"/>
  <c r="K145" i="11"/>
  <c r="L145" i="11" s="1"/>
  <c r="J145" i="11"/>
  <c r="K144" i="11"/>
  <c r="L144" i="11" s="1"/>
  <c r="J144" i="11"/>
  <c r="J93" i="11"/>
  <c r="K93" i="11"/>
  <c r="L93" i="11" s="1"/>
  <c r="J92" i="11"/>
  <c r="K92" i="11"/>
  <c r="L92" i="11" s="1"/>
  <c r="K91" i="11"/>
  <c r="L91" i="11" s="1"/>
  <c r="J91" i="11"/>
  <c r="J90" i="11"/>
  <c r="K90" i="11"/>
  <c r="L90" i="11" s="1"/>
  <c r="J89" i="11"/>
  <c r="K89" i="11"/>
  <c r="L89" i="11" s="1"/>
  <c r="J88" i="11"/>
  <c r="K88" i="11"/>
  <c r="L88" i="11" s="1"/>
  <c r="K87" i="11"/>
  <c r="L87" i="11" s="1"/>
  <c r="J87" i="11"/>
  <c r="K86" i="11"/>
  <c r="L86" i="11" s="1"/>
  <c r="J86" i="11"/>
  <c r="K85" i="11"/>
  <c r="L85" i="11" s="1"/>
  <c r="J85" i="11"/>
  <c r="K84" i="11"/>
  <c r="L84" i="11" s="1"/>
  <c r="J84" i="11"/>
  <c r="K83" i="11"/>
  <c r="L83" i="11" s="1"/>
  <c r="J83" i="11"/>
  <c r="J82" i="11"/>
  <c r="K82" i="11"/>
  <c r="L82" i="11" s="1"/>
  <c r="J81" i="11"/>
  <c r="K81" i="11"/>
  <c r="L81" i="11" s="1"/>
  <c r="J80" i="11"/>
  <c r="K80" i="11"/>
  <c r="L80" i="11" s="1"/>
  <c r="J79" i="11"/>
  <c r="K79" i="11"/>
  <c r="L79" i="11" s="1"/>
  <c r="J78" i="11"/>
  <c r="K78" i="11"/>
  <c r="L78" i="11" s="1"/>
  <c r="K77" i="11"/>
  <c r="L77" i="11" s="1"/>
  <c r="J77" i="11"/>
  <c r="K212" i="11"/>
  <c r="L212" i="11" s="1"/>
  <c r="J212" i="11"/>
  <c r="J243" i="11"/>
  <c r="K243" i="11"/>
  <c r="L243" i="11" s="1"/>
  <c r="K239" i="11"/>
  <c r="L239" i="11" s="1"/>
  <c r="J239" i="11"/>
  <c r="J235" i="11"/>
  <c r="K235" i="11"/>
  <c r="L235" i="11" s="1"/>
  <c r="J231" i="11"/>
  <c r="K231" i="11"/>
  <c r="L231" i="11" s="1"/>
  <c r="K164" i="11"/>
  <c r="L164" i="11" s="1"/>
  <c r="J164" i="11"/>
  <c r="J161" i="11"/>
  <c r="K161" i="11"/>
  <c r="L161" i="11" s="1"/>
  <c r="J157" i="11"/>
  <c r="K157" i="11"/>
  <c r="L157" i="11" s="1"/>
  <c r="K249" i="11"/>
  <c r="L249" i="11" s="1"/>
  <c r="J249" i="11"/>
  <c r="K245" i="11"/>
  <c r="L245" i="11" s="1"/>
  <c r="J245" i="11"/>
  <c r="K241" i="11"/>
  <c r="L241" i="11" s="1"/>
  <c r="J241" i="11"/>
  <c r="J238" i="11"/>
  <c r="K238" i="11"/>
  <c r="L238" i="11" s="1"/>
  <c r="J234" i="11"/>
  <c r="K234" i="11"/>
  <c r="L234" i="11" s="1"/>
  <c r="K230" i="11"/>
  <c r="L230" i="11" s="1"/>
  <c r="J230" i="11"/>
  <c r="J155" i="11"/>
  <c r="K155" i="11"/>
  <c r="L155" i="11" s="1"/>
  <c r="J237" i="11"/>
  <c r="K237" i="11"/>
  <c r="L237" i="11" s="1"/>
  <c r="J232" i="11"/>
  <c r="K232" i="11"/>
  <c r="L232" i="11" s="1"/>
  <c r="K229" i="11"/>
  <c r="L229" i="11" s="1"/>
  <c r="J229" i="11"/>
  <c r="J70" i="11"/>
  <c r="K70" i="11"/>
  <c r="L70" i="11" s="1"/>
  <c r="J74" i="11"/>
  <c r="K74" i="11"/>
  <c r="L74" i="11" s="1"/>
  <c r="J61" i="11"/>
  <c r="K61" i="11"/>
  <c r="L61" i="11" s="1"/>
  <c r="J63" i="11"/>
  <c r="K63" i="11"/>
  <c r="L63" i="11" s="1"/>
  <c r="J67" i="11"/>
  <c r="K67" i="11"/>
  <c r="L67" i="11" s="1"/>
  <c r="J65" i="11"/>
  <c r="K65" i="11"/>
  <c r="L65" i="11" s="1"/>
  <c r="J71" i="11"/>
  <c r="K71" i="11"/>
  <c r="L71" i="11" s="1"/>
  <c r="J69" i="11"/>
  <c r="K69" i="11"/>
  <c r="L69" i="11" s="1"/>
  <c r="J76" i="11"/>
  <c r="K76" i="11"/>
  <c r="L76" i="11" s="1"/>
  <c r="J64" i="11"/>
  <c r="K64" i="11"/>
  <c r="L64" i="11" s="1"/>
  <c r="J68" i="11"/>
  <c r="K68" i="11"/>
  <c r="L68" i="11" s="1"/>
  <c r="J75" i="11"/>
  <c r="K75" i="11"/>
  <c r="L75" i="11" s="1"/>
  <c r="J73" i="11"/>
  <c r="K73" i="11"/>
  <c r="L73" i="11" s="1"/>
  <c r="J62" i="11"/>
  <c r="K62" i="11"/>
  <c r="L62" i="11" s="1"/>
  <c r="J66" i="11"/>
  <c r="K66" i="11"/>
  <c r="L66" i="11" s="1"/>
  <c r="J72" i="11"/>
  <c r="K72" i="11"/>
  <c r="L72" i="11" s="1"/>
  <c r="M5" i="11"/>
  <c r="M9" i="11"/>
  <c r="M12" i="11"/>
  <c r="M14" i="11"/>
  <c r="M17" i="11"/>
  <c r="M20" i="11"/>
  <c r="M23" i="11"/>
  <c r="M28" i="11"/>
  <c r="M31" i="11"/>
  <c r="M35" i="11"/>
  <c r="M38" i="11"/>
  <c r="M42" i="11"/>
  <c r="M45" i="11"/>
  <c r="M50" i="11"/>
  <c r="M54" i="11"/>
  <c r="M57" i="11"/>
  <c r="M59" i="11"/>
  <c r="M63" i="11"/>
  <c r="M67" i="11"/>
  <c r="M70" i="11"/>
  <c r="M74" i="11"/>
  <c r="M77" i="11"/>
  <c r="M80" i="11"/>
  <c r="M84" i="11"/>
  <c r="M87" i="11"/>
  <c r="M91" i="11"/>
  <c r="M95" i="11"/>
  <c r="M105" i="11"/>
  <c r="M109" i="11"/>
  <c r="M112" i="11"/>
  <c r="M115" i="11"/>
  <c r="M118" i="11"/>
  <c r="M121" i="11"/>
  <c r="M123" i="11"/>
  <c r="M127" i="11"/>
  <c r="M130" i="11"/>
  <c r="M135" i="11"/>
  <c r="M137" i="11"/>
  <c r="M141" i="11"/>
  <c r="M143" i="11"/>
  <c r="M147" i="11"/>
  <c r="M150" i="11"/>
  <c r="M154" i="11"/>
  <c r="M158" i="11"/>
  <c r="M160" i="11"/>
  <c r="M165" i="11"/>
  <c r="M169" i="11"/>
  <c r="M171" i="11"/>
  <c r="M177" i="11"/>
  <c r="M181" i="11"/>
  <c r="M183" i="11"/>
  <c r="M187" i="11"/>
  <c r="M192" i="11"/>
  <c r="M195" i="11"/>
  <c r="M200" i="11"/>
  <c r="M204" i="11"/>
  <c r="M206" i="11"/>
  <c r="M209" i="11"/>
  <c r="M211" i="11"/>
  <c r="M213" i="11"/>
  <c r="M217" i="11"/>
  <c r="M220" i="11"/>
  <c r="M226" i="11"/>
  <c r="M229" i="11"/>
  <c r="M231" i="11"/>
  <c r="M234" i="11"/>
  <c r="M240" i="11"/>
  <c r="M246" i="11"/>
  <c r="M250" i="11"/>
  <c r="M2" i="11"/>
  <c r="J26" i="11"/>
  <c r="K26" i="11" s="1"/>
  <c r="P5" i="11" s="1"/>
  <c r="M4" i="11"/>
  <c r="M11" i="11"/>
  <c r="M16" i="11"/>
  <c r="M24" i="11"/>
  <c r="M36" i="11"/>
  <c r="M44" i="11"/>
  <c r="M52" i="11"/>
  <c r="M56" i="11"/>
  <c r="M68" i="11"/>
  <c r="M73" i="11"/>
  <c r="M90" i="11"/>
  <c r="M97" i="11"/>
  <c r="M101" i="11"/>
  <c r="M106" i="11"/>
  <c r="M116" i="11"/>
  <c r="M132" i="11"/>
  <c r="M142" i="11"/>
  <c r="M148" i="11"/>
  <c r="M152" i="11"/>
  <c r="M156" i="11"/>
  <c r="M162" i="11"/>
  <c r="M166" i="11"/>
  <c r="M174" i="11"/>
  <c r="M178" i="11"/>
  <c r="M184" i="11"/>
  <c r="M189" i="11"/>
  <c r="M196" i="11"/>
  <c r="M201" i="11"/>
  <c r="M208" i="11"/>
  <c r="M216" i="11"/>
  <c r="M224" i="11"/>
  <c r="M232" i="11"/>
  <c r="M245" i="11"/>
  <c r="M8" i="11"/>
  <c r="M22" i="11"/>
  <c r="M33" i="11"/>
  <c r="M49" i="11"/>
  <c r="M60" i="11"/>
  <c r="M64" i="11"/>
  <c r="M78" i="11"/>
  <c r="M98" i="11"/>
  <c r="M110" i="11"/>
  <c r="M126" i="11"/>
  <c r="M144" i="11"/>
  <c r="M149" i="11"/>
  <c r="M153" i="11"/>
  <c r="M157" i="11"/>
  <c r="M164" i="11"/>
  <c r="M172" i="11"/>
  <c r="M175" i="11"/>
  <c r="M180" i="11"/>
  <c r="M186" i="11"/>
  <c r="M219" i="11"/>
  <c r="M248" i="11"/>
  <c r="J24" i="11"/>
  <c r="K24" i="11" s="1"/>
  <c r="Q5" i="11" s="1"/>
  <c r="M3" i="11"/>
  <c r="M21" i="11"/>
  <c r="M26" i="11"/>
  <c r="M47" i="11"/>
  <c r="M61" i="11"/>
  <c r="M72" i="11"/>
  <c r="M81" i="11"/>
  <c r="M85" i="11"/>
  <c r="M96" i="11"/>
  <c r="M100" i="11"/>
  <c r="M104" i="11"/>
  <c r="M120" i="11"/>
  <c r="M124" i="11"/>
  <c r="M129" i="11"/>
  <c r="M138" i="11"/>
  <c r="M145" i="11"/>
  <c r="M151" i="11"/>
  <c r="M155" i="11"/>
  <c r="M159" i="11"/>
  <c r="M168" i="11"/>
  <c r="M190" i="11"/>
  <c r="M198" i="11"/>
  <c r="M203" i="11"/>
  <c r="M214" i="11"/>
  <c r="M222" i="11"/>
  <c r="M227" i="11"/>
  <c r="M237" i="11"/>
  <c r="M242" i="11"/>
  <c r="J23" i="11"/>
  <c r="K23" i="11" s="1"/>
  <c r="O5" i="11" s="1"/>
  <c r="M6" i="11"/>
  <c r="M18" i="11"/>
  <c r="M29" i="11"/>
  <c r="M40" i="11"/>
  <c r="M46" i="11"/>
  <c r="M53" i="11"/>
  <c r="M65" i="11"/>
  <c r="M69" i="11"/>
  <c r="M76" i="11"/>
  <c r="M83" i="11"/>
  <c r="M88" i="11"/>
  <c r="M93" i="11"/>
  <c r="M99" i="11"/>
  <c r="M102" i="11"/>
  <c r="M108" i="11"/>
  <c r="M113" i="11"/>
  <c r="M133" i="11"/>
  <c r="M140" i="11"/>
  <c r="M146" i="11"/>
  <c r="M161" i="11"/>
  <c r="M173" i="11"/>
  <c r="M193" i="11"/>
  <c r="M197" i="11"/>
  <c r="M225" i="11"/>
  <c r="M233" i="11"/>
  <c r="M236" i="11"/>
  <c r="M239" i="11"/>
  <c r="M243" i="11"/>
  <c r="M7" i="11"/>
  <c r="M10" i="11"/>
  <c r="M13" i="11"/>
  <c r="M15" i="11"/>
  <c r="M19" i="11"/>
  <c r="M25" i="11"/>
  <c r="M27" i="11"/>
  <c r="M30" i="11"/>
  <c r="M32" i="11"/>
  <c r="M34" i="11"/>
  <c r="M37" i="11"/>
  <c r="M39" i="11"/>
  <c r="M41" i="11"/>
  <c r="M43" i="11"/>
  <c r="M48" i="11"/>
  <c r="M51" i="11"/>
  <c r="M55" i="11"/>
  <c r="M58" i="11"/>
  <c r="M62" i="11"/>
  <c r="M66" i="11"/>
  <c r="M71" i="11"/>
  <c r="M75" i="11"/>
  <c r="M79" i="11"/>
  <c r="M82" i="11"/>
  <c r="M86" i="11"/>
  <c r="M89" i="11"/>
  <c r="M92" i="11"/>
  <c r="M94" i="11"/>
  <c r="M103" i="11"/>
  <c r="M107" i="11"/>
  <c r="M111" i="11"/>
  <c r="M114" i="11"/>
  <c r="M117" i="11"/>
  <c r="M119" i="11"/>
  <c r="M122" i="11"/>
  <c r="M125" i="11"/>
  <c r="M128" i="11"/>
  <c r="M131" i="11"/>
  <c r="M134" i="11"/>
  <c r="M136" i="11"/>
  <c r="M139" i="11"/>
  <c r="M163" i="11"/>
  <c r="M167" i="11"/>
  <c r="M170" i="11"/>
  <c r="M176" i="11"/>
  <c r="M179" i="11"/>
  <c r="M182" i="11"/>
  <c r="M185" i="11"/>
  <c r="M188" i="11"/>
  <c r="M191" i="11"/>
  <c r="M194" i="11"/>
  <c r="M199" i="11"/>
  <c r="M202" i="11"/>
  <c r="M205" i="11"/>
  <c r="M207" i="11"/>
  <c r="M210" i="11"/>
  <c r="M212" i="11"/>
  <c r="M215" i="11"/>
  <c r="M218" i="11"/>
  <c r="M221" i="11"/>
  <c r="M223" i="11"/>
  <c r="M228" i="11"/>
  <c r="M230" i="11"/>
  <c r="M235" i="11"/>
  <c r="M238" i="11"/>
  <c r="M241" i="11"/>
  <c r="M244" i="11"/>
  <c r="M247" i="11"/>
  <c r="M249" i="11"/>
  <c r="M251" i="11"/>
  <c r="J27" i="11"/>
  <c r="K27" i="11" s="1"/>
  <c r="R5" i="11" s="1"/>
  <c r="J16" i="11"/>
  <c r="K16" i="11" s="1"/>
  <c r="R4" i="11" s="1"/>
  <c r="R10" i="11" s="1"/>
  <c r="K13" i="11"/>
  <c r="Q4" i="11" s="1"/>
  <c r="Q10" i="11" s="1"/>
  <c r="J15" i="11"/>
  <c r="K15" i="11" s="1"/>
  <c r="P4" i="11" s="1"/>
  <c r="P10" i="11" s="1"/>
  <c r="K12" i="11"/>
  <c r="O4" i="11" s="1"/>
  <c r="O10" i="11" s="1"/>
  <c r="J31" i="11" l="1"/>
  <c r="J32" i="11"/>
  <c r="R11" i="11"/>
  <c r="R13" i="11"/>
  <c r="R12" i="11"/>
  <c r="Q11" i="11"/>
  <c r="Q13" i="11"/>
  <c r="Q12" i="11"/>
  <c r="P11" i="11"/>
  <c r="P13" i="11"/>
  <c r="P12" i="11"/>
  <c r="O11" i="11"/>
  <c r="O12" i="11"/>
  <c r="O13" i="11"/>
  <c r="F37" i="2"/>
  <c r="F38" i="2"/>
  <c r="F40" i="2"/>
  <c r="F36" i="2"/>
  <c r="D37" i="2"/>
  <c r="D38" i="2"/>
  <c r="D39" i="2"/>
  <c r="D40" i="2"/>
  <c r="D36" i="2"/>
  <c r="C37" i="2"/>
  <c r="C38" i="2"/>
  <c r="C39" i="2"/>
  <c r="C40" i="2"/>
  <c r="C36" i="2"/>
  <c r="J34" i="11" l="1"/>
  <c r="K34" i="11" s="1"/>
  <c r="P6" i="11" s="1"/>
  <c r="K31" i="11"/>
  <c r="O6" i="11" s="1"/>
  <c r="J35" i="11"/>
  <c r="K35" i="11" s="1"/>
  <c r="R6" i="11" s="1"/>
  <c r="K32" i="11"/>
  <c r="Q6" i="11" s="1"/>
  <c r="E27" i="2"/>
  <c r="E28" i="2"/>
  <c r="E29" i="2"/>
  <c r="E30" i="2"/>
  <c r="E26" i="2"/>
  <c r="E17" i="2"/>
  <c r="E18" i="2"/>
  <c r="E19" i="2"/>
  <c r="E20" i="2"/>
  <c r="E16" i="2"/>
  <c r="D17" i="2"/>
  <c r="D18" i="2"/>
  <c r="D19" i="2"/>
  <c r="F19" i="2" s="1"/>
  <c r="D20" i="2"/>
  <c r="D16" i="2"/>
  <c r="C17" i="2"/>
  <c r="C18" i="2"/>
  <c r="C19" i="2"/>
  <c r="C20" i="2"/>
  <c r="C16" i="2"/>
  <c r="F29" i="2"/>
  <c r="F39" i="2" s="1"/>
  <c r="E39" i="2" l="1"/>
  <c r="E36" i="2"/>
  <c r="E40" i="2"/>
  <c r="E38" i="2"/>
  <c r="E37" i="2"/>
  <c r="I6" i="2"/>
  <c r="J7" i="2" l="1"/>
  <c r="E63" i="2" s="1"/>
  <c r="J8" i="2"/>
  <c r="J10" i="2"/>
  <c r="J6" i="2"/>
  <c r="I7" i="2"/>
  <c r="I8" i="2"/>
  <c r="I10" i="2"/>
  <c r="H10" i="2"/>
  <c r="H9" i="2"/>
  <c r="H7" i="2"/>
  <c r="H8" i="2"/>
  <c r="H6" i="2"/>
  <c r="G9" i="2"/>
  <c r="G10" i="2"/>
  <c r="G8" i="2"/>
  <c r="G6" i="2"/>
  <c r="G7" i="2"/>
  <c r="F9" i="2"/>
  <c r="J9" i="2" s="1"/>
  <c r="I9" i="2" l="1"/>
  <c r="J30" i="2"/>
  <c r="J40" i="2" s="1"/>
  <c r="I30" i="2"/>
  <c r="I40" i="2" s="1"/>
  <c r="E66" i="2" s="1"/>
  <c r="H30" i="2"/>
  <c r="H40" i="2" s="1"/>
  <c r="G30" i="2"/>
  <c r="G40" i="2" s="1"/>
  <c r="J29" i="2"/>
  <c r="J39" i="2" s="1"/>
  <c r="G29" i="2"/>
  <c r="G39" i="2" s="1"/>
  <c r="H29" i="2"/>
  <c r="H39" i="2" s="1"/>
  <c r="I29" i="2"/>
  <c r="I39" i="2" s="1"/>
  <c r="E65" i="2" s="1"/>
  <c r="J28" i="2"/>
  <c r="J38" i="2" s="1"/>
  <c r="G28" i="2"/>
  <c r="G38" i="2" s="1"/>
  <c r="H28" i="2"/>
  <c r="H38" i="2" s="1"/>
  <c r="I28" i="2"/>
  <c r="I38" i="2" s="1"/>
  <c r="E64" i="2" s="1"/>
  <c r="H27" i="2"/>
  <c r="H37" i="2" s="1"/>
  <c r="J27" i="2"/>
  <c r="J37" i="2" s="1"/>
  <c r="C54" i="2" s="1"/>
  <c r="I27" i="2"/>
  <c r="I37" i="2" s="1"/>
  <c r="H54" i="2" s="1"/>
  <c r="G27" i="2"/>
  <c r="G37" i="2" s="1"/>
  <c r="J26" i="2"/>
  <c r="J36" i="2" s="1"/>
  <c r="G26" i="2"/>
  <c r="G36" i="2" s="1"/>
  <c r="H26" i="2"/>
  <c r="H36" i="2" s="1"/>
  <c r="I26" i="2"/>
  <c r="I36" i="2" s="1"/>
  <c r="E62" i="2" l="1"/>
  <c r="E67" i="2" s="1"/>
  <c r="C44" i="2"/>
  <c r="H45" i="2"/>
  <c r="C46" i="2"/>
  <c r="C55" i="2"/>
  <c r="H46" i="2"/>
  <c r="H55" i="2"/>
  <c r="H56" i="2"/>
  <c r="H47" i="2"/>
  <c r="C53" i="2"/>
  <c r="C47" i="2"/>
  <c r="C56" i="2"/>
  <c r="H53" i="2"/>
  <c r="H44" i="2"/>
  <c r="C48" i="2"/>
  <c r="H57" i="2"/>
  <c r="C45" i="2"/>
  <c r="C57" i="2"/>
  <c r="H48" i="2"/>
  <c r="H17" i="2"/>
  <c r="J17" i="2"/>
  <c r="I17" i="2"/>
  <c r="G17" i="2"/>
  <c r="J18" i="2"/>
  <c r="G18" i="2"/>
  <c r="H18" i="2"/>
  <c r="I18" i="2"/>
  <c r="H19" i="2"/>
  <c r="J19" i="2"/>
  <c r="G19" i="2"/>
  <c r="I19" i="2"/>
  <c r="J20" i="2"/>
  <c r="G20" i="2"/>
  <c r="H20" i="2"/>
  <c r="I20" i="2"/>
  <c r="H16" i="2"/>
  <c r="J16" i="2"/>
  <c r="I16" i="2"/>
  <c r="G16" i="2"/>
  <c r="H49" i="2" l="1"/>
  <c r="C49" i="2"/>
  <c r="H58" i="2"/>
  <c r="C5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F44053-EE87-472F-AD96-F22B2549965C}" keepAlive="1" name="Query - EURUSD Dailffy" description="Connection to the 'EURUSD Dailffy' query in the workbook." type="5" refreshedVersion="0" background="1">
    <dbPr connection="Provider=Microsoft.Mashup.OleDb.1;Data Source=$Workbook$;Location=&quot;EURUSD Dailffy&quot;;Extended Properties=&quot;&quot;" command="SELECT * FROM [EURUSD Dailffy]"/>
  </connection>
  <connection id="2" xr16:uid="{44EA95B5-8635-4968-9929-5026C454D7DB}" keepAlive="1" name="Query - EURUSD Dailffy (2)" description="Connection to the 'EURUSD Dailffy (2)' query in the workbook." type="5" refreshedVersion="0" background="1">
    <dbPr connection="Provider=Microsoft.Mashup.OleDb.1;Data Source=$Workbook$;Location=&quot;EURUSD Dailffy (2)&quot;;Extended Properties=&quot;&quot;" command="SELECT * FROM [EURUSD Dailffy (2)]"/>
  </connection>
  <connection id="3" xr16:uid="{836D529E-981E-4DD0-88C9-108EFF56DF97}" keepAlive="1" name="Query - EURUSD Daily" description="Connection to the 'EURUSD Daily' query in the workbook." type="5" refreshedVersion="8" background="1" saveData="1">
    <dbPr connection="Provider=Microsoft.Mashup.OleDb.1;Data Source=$Workbook$;Location=&quot;EURUSD Daily&quot;;Extended Properties=&quot;&quot;" command="SELECT * FROM [EURUSD Daily]"/>
  </connection>
  <connection id="4" xr16:uid="{755A2E1C-E23B-4A0F-937B-CFC6C247FF78}" keepAlive="1" name="Query - GBPJPY Daily" description="Connection to the 'GBPJPY Daily' query in the workbook." type="5" refreshedVersion="0" background="1">
    <dbPr connection="Provider=Microsoft.Mashup.OleDb.1;Data Source=$Workbook$;Location=&quot;GBPJPY Daily&quot;;Extended Properties=&quot;&quot;" command="SELECT * FROM [GBPJPY Daily]"/>
  </connection>
  <connection id="5" xr16:uid="{A5319A4B-F86B-452A-A770-65C5A6F7428D}" keepAlive="1" name="Query - GBPJPY Daily (2)" description="Connection to the 'GBPJPY Daily (2)' query in the workbook." type="5" refreshedVersion="0" background="1">
    <dbPr connection="Provider=Microsoft.Mashup.OleDb.1;Data Source=$Workbook$;Location=&quot;GBPJPY Daily (2)&quot;;Extended Properties=&quot;&quot;" command="SELECT * FROM [GBPJPY Daily (2)]"/>
  </connection>
  <connection id="6" xr16:uid="{C4790395-9B73-4E6A-88DA-87B235D60896}" keepAlive="1" name="Query - GOLD Daily" description="Connection to the 'GOLD Daily' query in the workbook." type="5" refreshedVersion="0" background="1">
    <dbPr connection="Provider=Microsoft.Mashup.OleDb.1;Data Source=$Workbook$;Location=&quot;GOLD Daily&quot;;Extended Properties=&quot;&quot;" command="SELECT * FROM [GOLD Daily]"/>
  </connection>
  <connection id="7" xr16:uid="{3E12D06C-6AD6-4704-98B8-17BF6400FE77}" keepAlive="1" name="Query - GOLD Daily (2)" description="Connection to the 'GOLD Daily (2)' query in the workbook." type="5" refreshedVersion="0" background="1">
    <dbPr connection="Provider=Microsoft.Mashup.OleDb.1;Data Source=$Workbook$;Location=&quot;GOLD Daily (2)&quot;;Extended Properties=&quot;&quot;" command="SELECT * FROM [GOLD Daily (2)]"/>
  </connection>
  <connection id="8" xr16:uid="{911F01E2-E209-4416-A902-A7CF531A3F45}" keepAlive="1" name="Query - GOLD Daily (3)" description="Connection to the 'GOLD Daily (3)' query in the workbook." type="5" refreshedVersion="0" background="1">
    <dbPr connection="Provider=Microsoft.Mashup.OleDb.1;Data Source=$Workbook$;Location=&quot;GOLD Daily (3)&quot;;Extended Properties=&quot;&quot;" command="SELECT * FROM [GOLD Daily (3)]"/>
  </connection>
</connections>
</file>

<file path=xl/sharedStrings.xml><?xml version="1.0" encoding="utf-8"?>
<sst xmlns="http://schemas.openxmlformats.org/spreadsheetml/2006/main" count="225" uniqueCount="76">
  <si>
    <t>EURUSD</t>
  </si>
  <si>
    <t>DOW</t>
  </si>
  <si>
    <t>GOLD</t>
  </si>
  <si>
    <t>USDJPY</t>
  </si>
  <si>
    <t>NASDAQ</t>
  </si>
  <si>
    <t>Exposure</t>
  </si>
  <si>
    <t>Contract Size</t>
  </si>
  <si>
    <t>Price</t>
  </si>
  <si>
    <t>Total</t>
  </si>
  <si>
    <t>ATR 14 Days
 in PIPS</t>
  </si>
  <si>
    <t>Scenarios</t>
  </si>
  <si>
    <t>2 = Instrument UP</t>
  </si>
  <si>
    <t>1 = Instrument DOWN</t>
  </si>
  <si>
    <t>Instrument</t>
  </si>
  <si>
    <t>Result IF Instrument 
Decrease</t>
  </si>
  <si>
    <t>Result IF Instrument 
Increase</t>
  </si>
  <si>
    <t>IF Instrument 
Increase</t>
  </si>
  <si>
    <t>IF Instrument 
Decrease</t>
  </si>
  <si>
    <t>USD Increase, INDICES Decrease</t>
  </si>
  <si>
    <t>USD Decrease, INDICES Increase</t>
  </si>
  <si>
    <t>P/L</t>
  </si>
  <si>
    <t>USD Increase, INDICES Increase</t>
  </si>
  <si>
    <t>Volatile Case</t>
  </si>
  <si>
    <t>Non-Volatile Case</t>
  </si>
  <si>
    <t>Add 50% to 100% pips from Normal Case</t>
  </si>
  <si>
    <t>Normal Case</t>
  </si>
  <si>
    <t>Deduct 25% to 50% pips from Normal Case</t>
  </si>
  <si>
    <t>Live Case</t>
  </si>
  <si>
    <t>Normal Case = 1</t>
  </si>
  <si>
    <t>Volatile  Case = 2</t>
  </si>
  <si>
    <t>Non-Volatile Case = 3</t>
  </si>
  <si>
    <t>Random Up/Down</t>
  </si>
  <si>
    <t>Parametric</t>
  </si>
  <si>
    <t>Mean</t>
  </si>
  <si>
    <t>Date</t>
  </si>
  <si>
    <t>XAUUSD</t>
  </si>
  <si>
    <t>XAGUSD</t>
  </si>
  <si>
    <t>SP500</t>
  </si>
  <si>
    <t>Weights</t>
  </si>
  <si>
    <t>Portfolio Return</t>
  </si>
  <si>
    <t>VaR 95%</t>
  </si>
  <si>
    <t>VaR 99%</t>
  </si>
  <si>
    <t>CVaR 95%</t>
  </si>
  <si>
    <t>CVaR 99%</t>
  </si>
  <si>
    <t>Standard Variation</t>
  </si>
  <si>
    <t>Notional Value</t>
  </si>
  <si>
    <t>Symbol</t>
  </si>
  <si>
    <t>Parametric (Variance-Covariance) VaR</t>
  </si>
  <si>
    <t>Monte Carlo Returns</t>
  </si>
  <si>
    <t>Monte Carlo VaR</t>
  </si>
  <si>
    <t xml:space="preserve">Historical Simulation VaR </t>
  </si>
  <si>
    <t>Method</t>
  </si>
  <si>
    <t>Historical</t>
  </si>
  <si>
    <t>Monte Carlo</t>
  </si>
  <si>
    <t>1-Day</t>
  </si>
  <si>
    <t>5-Days</t>
  </si>
  <si>
    <t>14-Days</t>
  </si>
  <si>
    <t>22-Days</t>
  </si>
  <si>
    <t>Horizon</t>
  </si>
  <si>
    <t>Period Sensitivity</t>
  </si>
  <si>
    <t>Overview</t>
  </si>
  <si>
    <t>Asset</t>
  </si>
  <si>
    <t>60days Rolling Var</t>
  </si>
  <si>
    <t>Notional</t>
  </si>
  <si>
    <t>60days Rolling CVaR</t>
  </si>
  <si>
    <t>Scenario</t>
  </si>
  <si>
    <t>USD Surge</t>
  </si>
  <si>
    <t>Equity Crash</t>
  </si>
  <si>
    <t>Metals Crash</t>
  </si>
  <si>
    <t>Global Risk-Off</t>
  </si>
  <si>
    <t>Custom</t>
  </si>
  <si>
    <t>Stress PnL</t>
  </si>
  <si>
    <t>Variance 0.94</t>
  </si>
  <si>
    <t>Variance 0.97</t>
  </si>
  <si>
    <t>EWMA 0.94</t>
  </si>
  <si>
    <t>EWMA 0.97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</si>
</sst>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000"/>
    <numFmt numFmtId="166" formatCode="0.000%"/>
    <numFmt numFmtId="167" formatCode="0.0000%"/>
    <numFmt numFmtId="168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82">
    <xf numFmtId="0" fontId="0" fillId="0" borderId="0" xfId="0"/>
    <xf numFmtId="0" fontId="0" fillId="0" borderId="7" xfId="0" applyBorder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/>
    <xf numFmtId="0" fontId="6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3" borderId="9" xfId="0" applyFont="1" applyFill="1" applyBorder="1" applyAlignment="1">
      <alignment horizontal="center" wrapText="1"/>
    </xf>
    <xf numFmtId="0" fontId="0" fillId="3" borderId="9" xfId="0" applyFill="1" applyBorder="1" applyAlignment="1">
      <alignment horizontal="center"/>
    </xf>
    <xf numFmtId="164" fontId="0" fillId="3" borderId="9" xfId="1" applyNumberFormat="1" applyFont="1" applyFill="1" applyBorder="1" applyAlignment="1">
      <alignment horizontal="center"/>
    </xf>
    <xf numFmtId="164" fontId="4" fillId="3" borderId="9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9" fontId="5" fillId="2" borderId="9" xfId="0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/>
    </xf>
    <xf numFmtId="2" fontId="0" fillId="3" borderId="9" xfId="0" applyNumberForma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 wrapText="1"/>
    </xf>
    <xf numFmtId="0" fontId="1" fillId="0" borderId="7" xfId="0" applyFont="1" applyBorder="1"/>
    <xf numFmtId="165" fontId="0" fillId="3" borderId="9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7" fillId="5" borderId="9" xfId="0" applyFont="1" applyFill="1" applyBorder="1" applyAlignment="1">
      <alignment horizontal="center" wrapText="1"/>
    </xf>
    <xf numFmtId="0" fontId="1" fillId="5" borderId="9" xfId="0" applyFont="1" applyFill="1" applyBorder="1" applyAlignment="1">
      <alignment horizontal="center" wrapText="1"/>
    </xf>
    <xf numFmtId="0" fontId="2" fillId="5" borderId="9" xfId="0" applyFont="1" applyFill="1" applyBorder="1" applyAlignment="1">
      <alignment horizontal="center"/>
    </xf>
    <xf numFmtId="165" fontId="0" fillId="5" borderId="9" xfId="0" applyNumberFormat="1" applyFill="1" applyBorder="1" applyAlignment="1">
      <alignment horizontal="center"/>
    </xf>
    <xf numFmtId="164" fontId="0" fillId="5" borderId="9" xfId="1" applyNumberFormat="1" applyFont="1" applyFill="1" applyBorder="1" applyAlignment="1">
      <alignment horizontal="center"/>
    </xf>
    <xf numFmtId="164" fontId="4" fillId="5" borderId="9" xfId="0" applyNumberFormat="1" applyFont="1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2" fontId="2" fillId="5" borderId="9" xfId="0" applyNumberFormat="1" applyFont="1" applyFill="1" applyBorder="1" applyAlignment="1">
      <alignment horizontal="center"/>
    </xf>
    <xf numFmtId="0" fontId="1" fillId="0" borderId="9" xfId="0" applyFont="1" applyBorder="1"/>
    <xf numFmtId="1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7" fontId="3" fillId="0" borderId="0" xfId="2" applyNumberFormat="1" applyFont="1" applyAlignment="1">
      <alignment horizontal="center"/>
    </xf>
    <xf numFmtId="167" fontId="3" fillId="0" borderId="5" xfId="2" applyNumberFormat="1" applyFont="1" applyBorder="1" applyAlignment="1">
      <alignment horizontal="center"/>
    </xf>
    <xf numFmtId="167" fontId="3" fillId="0" borderId="0" xfId="2" applyNumberFormat="1" applyFont="1" applyBorder="1" applyAlignment="1">
      <alignment horizontal="center"/>
    </xf>
    <xf numFmtId="168" fontId="0" fillId="0" borderId="9" xfId="0" applyNumberFormat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166" fontId="0" fillId="6" borderId="0" xfId="2" applyNumberFormat="1" applyFont="1" applyFill="1" applyBorder="1" applyAlignment="1">
      <alignment horizontal="center"/>
    </xf>
    <xf numFmtId="168" fontId="2" fillId="6" borderId="5" xfId="3" applyNumberFormat="1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166" fontId="0" fillId="6" borderId="7" xfId="2" applyNumberFormat="1" applyFont="1" applyFill="1" applyBorder="1" applyAlignment="1">
      <alignment horizontal="center"/>
    </xf>
    <xf numFmtId="168" fontId="2" fillId="6" borderId="8" xfId="3" applyNumberFormat="1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5" xfId="0" applyFill="1" applyBorder="1" applyAlignment="1">
      <alignment horizontal="center"/>
    </xf>
    <xf numFmtId="167" fontId="0" fillId="6" borderId="0" xfId="2" applyNumberFormat="1" applyFont="1" applyFill="1" applyBorder="1" applyAlignment="1">
      <alignment horizontal="center"/>
    </xf>
    <xf numFmtId="9" fontId="1" fillId="6" borderId="0" xfId="0" applyNumberFormat="1" applyFont="1" applyFill="1" applyAlignment="1">
      <alignment horizontal="center"/>
    </xf>
    <xf numFmtId="9" fontId="1" fillId="6" borderId="5" xfId="0" applyNumberFormat="1" applyFont="1" applyFill="1" applyBorder="1" applyAlignment="1">
      <alignment horizontal="center"/>
    </xf>
    <xf numFmtId="0" fontId="0" fillId="0" borderId="9" xfId="0" applyBorder="1"/>
    <xf numFmtId="0" fontId="1" fillId="6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9" fontId="0" fillId="0" borderId="0" xfId="0" applyNumberFormat="1"/>
    <xf numFmtId="9" fontId="0" fillId="0" borderId="7" xfId="0" applyNumberForma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0" fontId="0" fillId="0" borderId="0" xfId="2" applyNumberFormat="1" applyFont="1"/>
    <xf numFmtId="9" fontId="1" fillId="0" borderId="0" xfId="2" applyFont="1" applyBorder="1" applyAlignment="1">
      <alignment horizontal="center"/>
    </xf>
    <xf numFmtId="165" fontId="3" fillId="0" borderId="0" xfId="2" applyNumberFormat="1" applyFont="1" applyBorder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65" fontId="9" fillId="0" borderId="0" xfId="2" applyNumberFormat="1" applyFont="1" applyBorder="1" applyAlignment="1">
      <alignment horizontal="center"/>
    </xf>
    <xf numFmtId="10" fontId="1" fillId="0" borderId="0" xfId="2" applyNumberFormat="1" applyFont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10"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0000FF"/>
      <color rgb="FF0066FF"/>
      <color rgb="FFFF99CC"/>
      <color rgb="FFFFFF66"/>
      <color rgb="FF0099FF"/>
      <color rgb="FFE7BF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Sensitivty</a:t>
            </a:r>
            <a:r>
              <a:rPr lang="en-US" baseline="0"/>
              <a:t> by Holding Period</a:t>
            </a:r>
          </a:p>
        </c:rich>
      </c:tx>
      <c:layout>
        <c:manualLayout>
          <c:xMode val="edge"/>
          <c:yMode val="edge"/>
          <c:x val="0.28779453371685032"/>
          <c:y val="0.80671908007829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34514435695535"/>
          <c:y val="8.8379629629629614E-2"/>
          <c:w val="0.77509930008748906"/>
          <c:h val="0.6714577865266842"/>
        </c:manualLayout>
      </c:layout>
      <c:lineChart>
        <c:grouping val="standard"/>
        <c:varyColors val="0"/>
        <c:ser>
          <c:idx val="0"/>
          <c:order val="0"/>
          <c:tx>
            <c:v>VaR 95%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VaR!$N$10:$N$13</c:f>
              <c:strCache>
                <c:ptCount val="4"/>
                <c:pt idx="0">
                  <c:v>1-Day</c:v>
                </c:pt>
                <c:pt idx="1">
                  <c:v>5-Days</c:v>
                </c:pt>
                <c:pt idx="2">
                  <c:v>14-Days</c:v>
                </c:pt>
                <c:pt idx="3">
                  <c:v>22-Days</c:v>
                </c:pt>
              </c:strCache>
            </c:strRef>
          </c:cat>
          <c:val>
            <c:numRef>
              <c:f>VaR!$O$10:$O$13</c:f>
              <c:numCache>
                <c:formatCode>"$"#,##0.00</c:formatCode>
                <c:ptCount val="4"/>
                <c:pt idx="0">
                  <c:v>-102267.08249999997</c:v>
                </c:pt>
                <c:pt idx="1">
                  <c:v>-228676.1483305791</c:v>
                </c:pt>
                <c:pt idx="2">
                  <c:v>-382648.38465994498</c:v>
                </c:pt>
                <c:pt idx="3">
                  <c:v>-479675.13546916278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7C-44A8-A82A-8F1D582774DD}"/>
            </c:ext>
          </c:extLst>
        </c:ser>
        <c:ser>
          <c:idx val="1"/>
          <c:order val="1"/>
          <c:tx>
            <c:v>CVaR 95%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VaR!$N$10:$N$13</c:f>
              <c:strCache>
                <c:ptCount val="4"/>
                <c:pt idx="0">
                  <c:v>1-Day</c:v>
                </c:pt>
                <c:pt idx="1">
                  <c:v>5-Days</c:v>
                </c:pt>
                <c:pt idx="2">
                  <c:v>14-Days</c:v>
                </c:pt>
                <c:pt idx="3">
                  <c:v>22-Days</c:v>
                </c:pt>
              </c:strCache>
            </c:strRef>
          </c:cat>
          <c:val>
            <c:numRef>
              <c:f>VaR!$P$10:$P$13</c:f>
              <c:numCache>
                <c:formatCode>"$"#,##0.00</c:formatCode>
                <c:ptCount val="4"/>
                <c:pt idx="0">
                  <c:v>-171748.005</c:v>
                </c:pt>
                <c:pt idx="1">
                  <c:v>-384040.21417997382</c:v>
                </c:pt>
                <c:pt idx="2">
                  <c:v>-642622.19157193787</c:v>
                </c:pt>
                <c:pt idx="3">
                  <c:v>-805569.5493702332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7C-44A8-A82A-8F1D582774DD}"/>
            </c:ext>
          </c:extLst>
        </c:ser>
        <c:ser>
          <c:idx val="2"/>
          <c:order val="2"/>
          <c:tx>
            <c:v>VaR 99%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VaR!$N$10:$N$13</c:f>
              <c:strCache>
                <c:ptCount val="4"/>
                <c:pt idx="0">
                  <c:v>1-Day</c:v>
                </c:pt>
                <c:pt idx="1">
                  <c:v>5-Days</c:v>
                </c:pt>
                <c:pt idx="2">
                  <c:v>14-Days</c:v>
                </c:pt>
                <c:pt idx="3">
                  <c:v>22-Days</c:v>
                </c:pt>
              </c:strCache>
            </c:strRef>
          </c:cat>
          <c:val>
            <c:numRef>
              <c:f>VaR!$Q$10:$Q$13</c:f>
              <c:numCache>
                <c:formatCode>"$"#,##0.00</c:formatCode>
                <c:ptCount val="4"/>
                <c:pt idx="0">
                  <c:v>-181693.37339999998</c:v>
                </c:pt>
                <c:pt idx="1">
                  <c:v>-406278.73398365208</c:v>
                </c:pt>
                <c:pt idx="2">
                  <c:v>-679834.35270998592</c:v>
                </c:pt>
                <c:pt idx="3">
                  <c:v>-852217.46205084305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A7C-44A8-A82A-8F1D582774DD}"/>
            </c:ext>
          </c:extLst>
        </c:ser>
        <c:ser>
          <c:idx val="3"/>
          <c:order val="3"/>
          <c:tx>
            <c:v>CVaR 99%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VaR!$N$10:$N$13</c:f>
              <c:strCache>
                <c:ptCount val="4"/>
                <c:pt idx="0">
                  <c:v>1-Day</c:v>
                </c:pt>
                <c:pt idx="1">
                  <c:v>5-Days</c:v>
                </c:pt>
                <c:pt idx="2">
                  <c:v>14-Days</c:v>
                </c:pt>
                <c:pt idx="3">
                  <c:v>22-Days</c:v>
                </c:pt>
              </c:strCache>
            </c:strRef>
          </c:cat>
          <c:val>
            <c:numRef>
              <c:f>VaR!$R$10:$R$13</c:f>
              <c:numCache>
                <c:formatCode>"$"#,##0.00</c:formatCode>
                <c:ptCount val="4"/>
                <c:pt idx="0">
                  <c:v>-289611.66666666663</c:v>
                </c:pt>
                <c:pt idx="1">
                  <c:v>-647591.37374367658</c:v>
                </c:pt>
                <c:pt idx="2">
                  <c:v>-1083627.6318792456</c:v>
                </c:pt>
                <c:pt idx="3">
                  <c:v>-1358399.125562063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A7C-44A8-A82A-8F1D58277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098912"/>
        <c:axId val="869748688"/>
      </c:lineChart>
      <c:catAx>
        <c:axId val="866098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softEdge rad="0"/>
          </a:effectLst>
        </c:spPr>
        <c:txPr>
          <a:bodyPr rot="0" spcFirstLastPara="1" vertOverflow="ellipsis" wrap="square" anchor="t" anchorCtr="0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748688"/>
        <c:crosses val="autoZero"/>
        <c:auto val="1"/>
        <c:lblAlgn val="ctr"/>
        <c:lblOffset val="100"/>
        <c:noMultiLvlLbl val="0"/>
      </c:catAx>
      <c:valAx>
        <c:axId val="869748688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098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'EWMA Volatility'!$E$1</c:f>
              <c:strCache>
                <c:ptCount val="1"/>
                <c:pt idx="0">
                  <c:v>EWMA 0.94</c:v>
                </c:pt>
              </c:strCache>
            </c:strRef>
          </c:tx>
          <c:spPr>
            <a:ln w="158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'EWMA Volatility'!$A$2:$A$251</c:f>
              <c:numCache>
                <c:formatCode>m/d/yyyy</c:formatCode>
                <c:ptCount val="250"/>
                <c:pt idx="0">
                  <c:v>45925</c:v>
                </c:pt>
                <c:pt idx="1">
                  <c:v>45926</c:v>
                </c:pt>
                <c:pt idx="2">
                  <c:v>45929</c:v>
                </c:pt>
                <c:pt idx="3">
                  <c:v>45930</c:v>
                </c:pt>
                <c:pt idx="4">
                  <c:v>45931</c:v>
                </c:pt>
                <c:pt idx="5">
                  <c:v>45932</c:v>
                </c:pt>
                <c:pt idx="6">
                  <c:v>45933</c:v>
                </c:pt>
                <c:pt idx="7">
                  <c:v>45936</c:v>
                </c:pt>
                <c:pt idx="8">
                  <c:v>45937</c:v>
                </c:pt>
                <c:pt idx="9">
                  <c:v>45938</c:v>
                </c:pt>
                <c:pt idx="10">
                  <c:v>45939</c:v>
                </c:pt>
                <c:pt idx="11">
                  <c:v>45940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45950</c:v>
                </c:pt>
                <c:pt idx="18">
                  <c:v>45951</c:v>
                </c:pt>
                <c:pt idx="19">
                  <c:v>45952</c:v>
                </c:pt>
                <c:pt idx="20">
                  <c:v>45953</c:v>
                </c:pt>
                <c:pt idx="21">
                  <c:v>45954</c:v>
                </c:pt>
                <c:pt idx="22">
                  <c:v>45957</c:v>
                </c:pt>
                <c:pt idx="23">
                  <c:v>45958</c:v>
                </c:pt>
                <c:pt idx="24">
                  <c:v>45959</c:v>
                </c:pt>
                <c:pt idx="25">
                  <c:v>45960</c:v>
                </c:pt>
                <c:pt idx="26">
                  <c:v>45961</c:v>
                </c:pt>
                <c:pt idx="27">
                  <c:v>45964</c:v>
                </c:pt>
                <c:pt idx="28">
                  <c:v>45965</c:v>
                </c:pt>
                <c:pt idx="29">
                  <c:v>45966</c:v>
                </c:pt>
                <c:pt idx="30">
                  <c:v>45967</c:v>
                </c:pt>
                <c:pt idx="31">
                  <c:v>45968</c:v>
                </c:pt>
                <c:pt idx="32">
                  <c:v>45971</c:v>
                </c:pt>
                <c:pt idx="33">
                  <c:v>45972</c:v>
                </c:pt>
                <c:pt idx="34">
                  <c:v>45973</c:v>
                </c:pt>
                <c:pt idx="35">
                  <c:v>45974</c:v>
                </c:pt>
                <c:pt idx="36">
                  <c:v>45975</c:v>
                </c:pt>
                <c:pt idx="37">
                  <c:v>45978</c:v>
                </c:pt>
                <c:pt idx="38">
                  <c:v>45979</c:v>
                </c:pt>
                <c:pt idx="39">
                  <c:v>45980</c:v>
                </c:pt>
                <c:pt idx="40">
                  <c:v>45981</c:v>
                </c:pt>
                <c:pt idx="41">
                  <c:v>45982</c:v>
                </c:pt>
                <c:pt idx="42">
                  <c:v>45985</c:v>
                </c:pt>
                <c:pt idx="43">
                  <c:v>45986</c:v>
                </c:pt>
                <c:pt idx="44">
                  <c:v>45987</c:v>
                </c:pt>
                <c:pt idx="45">
                  <c:v>45988</c:v>
                </c:pt>
                <c:pt idx="46">
                  <c:v>45989</c:v>
                </c:pt>
                <c:pt idx="47">
                  <c:v>45992</c:v>
                </c:pt>
                <c:pt idx="48">
                  <c:v>45993</c:v>
                </c:pt>
                <c:pt idx="49">
                  <c:v>45994</c:v>
                </c:pt>
                <c:pt idx="50">
                  <c:v>45995</c:v>
                </c:pt>
                <c:pt idx="51">
                  <c:v>45996</c:v>
                </c:pt>
                <c:pt idx="52">
                  <c:v>45999</c:v>
                </c:pt>
                <c:pt idx="53">
                  <c:v>46000</c:v>
                </c:pt>
                <c:pt idx="54">
                  <c:v>46001</c:v>
                </c:pt>
                <c:pt idx="55">
                  <c:v>46002</c:v>
                </c:pt>
                <c:pt idx="56">
                  <c:v>46003</c:v>
                </c:pt>
                <c:pt idx="57">
                  <c:v>46006</c:v>
                </c:pt>
                <c:pt idx="58">
                  <c:v>46007</c:v>
                </c:pt>
                <c:pt idx="59">
                  <c:v>46008</c:v>
                </c:pt>
                <c:pt idx="60">
                  <c:v>46009</c:v>
                </c:pt>
                <c:pt idx="61">
                  <c:v>46010</c:v>
                </c:pt>
                <c:pt idx="62">
                  <c:v>46013</c:v>
                </c:pt>
                <c:pt idx="63">
                  <c:v>46014</c:v>
                </c:pt>
                <c:pt idx="64">
                  <c:v>46015</c:v>
                </c:pt>
                <c:pt idx="65">
                  <c:v>46017</c:v>
                </c:pt>
                <c:pt idx="66">
                  <c:v>46020</c:v>
                </c:pt>
                <c:pt idx="67">
                  <c:v>46021</c:v>
                </c:pt>
                <c:pt idx="68">
                  <c:v>46022</c:v>
                </c:pt>
                <c:pt idx="69">
                  <c:v>46024</c:v>
                </c:pt>
                <c:pt idx="70">
                  <c:v>46027</c:v>
                </c:pt>
                <c:pt idx="71">
                  <c:v>46028</c:v>
                </c:pt>
                <c:pt idx="72">
                  <c:v>46029</c:v>
                </c:pt>
                <c:pt idx="73">
                  <c:v>46030</c:v>
                </c:pt>
                <c:pt idx="74">
                  <c:v>46031</c:v>
                </c:pt>
                <c:pt idx="75">
                  <c:v>46034</c:v>
                </c:pt>
                <c:pt idx="76">
                  <c:v>46035</c:v>
                </c:pt>
                <c:pt idx="77">
                  <c:v>46036</c:v>
                </c:pt>
                <c:pt idx="78">
                  <c:v>46037</c:v>
                </c:pt>
                <c:pt idx="79">
                  <c:v>46038</c:v>
                </c:pt>
                <c:pt idx="80">
                  <c:v>46041</c:v>
                </c:pt>
                <c:pt idx="81">
                  <c:v>46042</c:v>
                </c:pt>
                <c:pt idx="82">
                  <c:v>46043</c:v>
                </c:pt>
                <c:pt idx="83">
                  <c:v>46044</c:v>
                </c:pt>
                <c:pt idx="84">
                  <c:v>46045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46055</c:v>
                </c:pt>
                <c:pt idx="91">
                  <c:v>46056</c:v>
                </c:pt>
                <c:pt idx="92">
                  <c:v>46057</c:v>
                </c:pt>
                <c:pt idx="93">
                  <c:v>46058</c:v>
                </c:pt>
                <c:pt idx="94">
                  <c:v>46059</c:v>
                </c:pt>
                <c:pt idx="95">
                  <c:v>46062</c:v>
                </c:pt>
                <c:pt idx="96">
                  <c:v>46063</c:v>
                </c:pt>
                <c:pt idx="97">
                  <c:v>46064</c:v>
                </c:pt>
                <c:pt idx="98">
                  <c:v>46065</c:v>
                </c:pt>
                <c:pt idx="99">
                  <c:v>46066</c:v>
                </c:pt>
                <c:pt idx="100">
                  <c:v>46069</c:v>
                </c:pt>
                <c:pt idx="101">
                  <c:v>46070</c:v>
                </c:pt>
                <c:pt idx="102">
                  <c:v>46071</c:v>
                </c:pt>
                <c:pt idx="103">
                  <c:v>46072</c:v>
                </c:pt>
                <c:pt idx="104">
                  <c:v>46073</c:v>
                </c:pt>
                <c:pt idx="105">
                  <c:v>46076</c:v>
                </c:pt>
                <c:pt idx="106">
                  <c:v>46077</c:v>
                </c:pt>
                <c:pt idx="107">
                  <c:v>46078</c:v>
                </c:pt>
                <c:pt idx="108">
                  <c:v>46079</c:v>
                </c:pt>
                <c:pt idx="109">
                  <c:v>46080</c:v>
                </c:pt>
                <c:pt idx="110">
                  <c:v>46083</c:v>
                </c:pt>
                <c:pt idx="111">
                  <c:v>46084</c:v>
                </c:pt>
                <c:pt idx="112">
                  <c:v>46085</c:v>
                </c:pt>
                <c:pt idx="113">
                  <c:v>46086</c:v>
                </c:pt>
                <c:pt idx="114">
                  <c:v>46087</c:v>
                </c:pt>
                <c:pt idx="115">
                  <c:v>46090</c:v>
                </c:pt>
                <c:pt idx="116">
                  <c:v>46091</c:v>
                </c:pt>
                <c:pt idx="117">
                  <c:v>46092</c:v>
                </c:pt>
                <c:pt idx="118">
                  <c:v>46093</c:v>
                </c:pt>
                <c:pt idx="119">
                  <c:v>46094</c:v>
                </c:pt>
                <c:pt idx="120">
                  <c:v>46097</c:v>
                </c:pt>
                <c:pt idx="121">
                  <c:v>46098</c:v>
                </c:pt>
                <c:pt idx="122">
                  <c:v>46099</c:v>
                </c:pt>
                <c:pt idx="123">
                  <c:v>46100</c:v>
                </c:pt>
                <c:pt idx="124">
                  <c:v>46101</c:v>
                </c:pt>
                <c:pt idx="125">
                  <c:v>46104</c:v>
                </c:pt>
                <c:pt idx="126">
                  <c:v>46105</c:v>
                </c:pt>
                <c:pt idx="127">
                  <c:v>46106</c:v>
                </c:pt>
                <c:pt idx="128">
                  <c:v>46107</c:v>
                </c:pt>
                <c:pt idx="129">
                  <c:v>46108</c:v>
                </c:pt>
                <c:pt idx="130">
                  <c:v>46111</c:v>
                </c:pt>
                <c:pt idx="131">
                  <c:v>46112</c:v>
                </c:pt>
                <c:pt idx="132">
                  <c:v>46113</c:v>
                </c:pt>
                <c:pt idx="133">
                  <c:v>46114</c:v>
                </c:pt>
                <c:pt idx="134">
                  <c:v>46115</c:v>
                </c:pt>
                <c:pt idx="135">
                  <c:v>46118</c:v>
                </c:pt>
                <c:pt idx="136">
                  <c:v>46119</c:v>
                </c:pt>
                <c:pt idx="137">
                  <c:v>46120</c:v>
                </c:pt>
                <c:pt idx="138">
                  <c:v>46121</c:v>
                </c:pt>
                <c:pt idx="139">
                  <c:v>46122</c:v>
                </c:pt>
                <c:pt idx="140">
                  <c:v>46125</c:v>
                </c:pt>
                <c:pt idx="141">
                  <c:v>46126</c:v>
                </c:pt>
                <c:pt idx="142">
                  <c:v>46127</c:v>
                </c:pt>
                <c:pt idx="143">
                  <c:v>46128</c:v>
                </c:pt>
                <c:pt idx="144">
                  <c:v>46129</c:v>
                </c:pt>
                <c:pt idx="145">
                  <c:v>46132</c:v>
                </c:pt>
                <c:pt idx="146">
                  <c:v>46133</c:v>
                </c:pt>
                <c:pt idx="147">
                  <c:v>46134</c:v>
                </c:pt>
                <c:pt idx="148">
                  <c:v>46135</c:v>
                </c:pt>
                <c:pt idx="149">
                  <c:v>46136</c:v>
                </c:pt>
                <c:pt idx="150">
                  <c:v>46139</c:v>
                </c:pt>
                <c:pt idx="151">
                  <c:v>46140</c:v>
                </c:pt>
                <c:pt idx="152">
                  <c:v>46141</c:v>
                </c:pt>
                <c:pt idx="153">
                  <c:v>46142</c:v>
                </c:pt>
                <c:pt idx="154">
                  <c:v>46143</c:v>
                </c:pt>
                <c:pt idx="155">
                  <c:v>46146</c:v>
                </c:pt>
                <c:pt idx="156">
                  <c:v>46147</c:v>
                </c:pt>
                <c:pt idx="157">
                  <c:v>46148</c:v>
                </c:pt>
                <c:pt idx="158">
                  <c:v>46149</c:v>
                </c:pt>
                <c:pt idx="159">
                  <c:v>46150</c:v>
                </c:pt>
                <c:pt idx="160">
                  <c:v>46153</c:v>
                </c:pt>
                <c:pt idx="161">
                  <c:v>46154</c:v>
                </c:pt>
                <c:pt idx="162">
                  <c:v>46155</c:v>
                </c:pt>
                <c:pt idx="163">
                  <c:v>46156</c:v>
                </c:pt>
                <c:pt idx="164">
                  <c:v>46157</c:v>
                </c:pt>
                <c:pt idx="165">
                  <c:v>46160</c:v>
                </c:pt>
                <c:pt idx="166">
                  <c:v>46161</c:v>
                </c:pt>
                <c:pt idx="167">
                  <c:v>46162</c:v>
                </c:pt>
                <c:pt idx="168">
                  <c:v>46163</c:v>
                </c:pt>
                <c:pt idx="169">
                  <c:v>46164</c:v>
                </c:pt>
                <c:pt idx="170">
                  <c:v>46167</c:v>
                </c:pt>
                <c:pt idx="171">
                  <c:v>46168</c:v>
                </c:pt>
                <c:pt idx="172">
                  <c:v>46169</c:v>
                </c:pt>
                <c:pt idx="173">
                  <c:v>46170</c:v>
                </c:pt>
                <c:pt idx="174">
                  <c:v>46171</c:v>
                </c:pt>
                <c:pt idx="175">
                  <c:v>46174</c:v>
                </c:pt>
                <c:pt idx="176">
                  <c:v>46175</c:v>
                </c:pt>
                <c:pt idx="177">
                  <c:v>46176</c:v>
                </c:pt>
                <c:pt idx="178">
                  <c:v>46177</c:v>
                </c:pt>
                <c:pt idx="179">
                  <c:v>46178</c:v>
                </c:pt>
                <c:pt idx="180">
                  <c:v>46181</c:v>
                </c:pt>
                <c:pt idx="181">
                  <c:v>46182</c:v>
                </c:pt>
                <c:pt idx="182">
                  <c:v>46183</c:v>
                </c:pt>
                <c:pt idx="183">
                  <c:v>46184</c:v>
                </c:pt>
                <c:pt idx="184">
                  <c:v>46185</c:v>
                </c:pt>
                <c:pt idx="185">
                  <c:v>46188</c:v>
                </c:pt>
                <c:pt idx="186">
                  <c:v>46189</c:v>
                </c:pt>
                <c:pt idx="187">
                  <c:v>46190</c:v>
                </c:pt>
                <c:pt idx="188">
                  <c:v>46191</c:v>
                </c:pt>
                <c:pt idx="189">
                  <c:v>46192</c:v>
                </c:pt>
                <c:pt idx="190">
                  <c:v>46195</c:v>
                </c:pt>
                <c:pt idx="191">
                  <c:v>46196</c:v>
                </c:pt>
                <c:pt idx="192">
                  <c:v>46197</c:v>
                </c:pt>
                <c:pt idx="193">
                  <c:v>46198</c:v>
                </c:pt>
                <c:pt idx="194">
                  <c:v>46199</c:v>
                </c:pt>
                <c:pt idx="195">
                  <c:v>46202</c:v>
                </c:pt>
                <c:pt idx="196">
                  <c:v>46203</c:v>
                </c:pt>
                <c:pt idx="197">
                  <c:v>46204</c:v>
                </c:pt>
                <c:pt idx="198">
                  <c:v>46205</c:v>
                </c:pt>
                <c:pt idx="199">
                  <c:v>46206</c:v>
                </c:pt>
                <c:pt idx="200">
                  <c:v>46209</c:v>
                </c:pt>
                <c:pt idx="201">
                  <c:v>46210</c:v>
                </c:pt>
                <c:pt idx="202">
                  <c:v>46211</c:v>
                </c:pt>
                <c:pt idx="203">
                  <c:v>46212</c:v>
                </c:pt>
                <c:pt idx="204">
                  <c:v>46213</c:v>
                </c:pt>
                <c:pt idx="205">
                  <c:v>46216</c:v>
                </c:pt>
                <c:pt idx="206">
                  <c:v>46217</c:v>
                </c:pt>
                <c:pt idx="207">
                  <c:v>46218</c:v>
                </c:pt>
                <c:pt idx="208">
                  <c:v>46219</c:v>
                </c:pt>
                <c:pt idx="209">
                  <c:v>46220</c:v>
                </c:pt>
                <c:pt idx="210">
                  <c:v>46223</c:v>
                </c:pt>
                <c:pt idx="211">
                  <c:v>46224</c:v>
                </c:pt>
                <c:pt idx="212">
                  <c:v>46225</c:v>
                </c:pt>
                <c:pt idx="213">
                  <c:v>46226</c:v>
                </c:pt>
                <c:pt idx="214">
                  <c:v>46227</c:v>
                </c:pt>
                <c:pt idx="215">
                  <c:v>46230</c:v>
                </c:pt>
                <c:pt idx="216">
                  <c:v>46231</c:v>
                </c:pt>
                <c:pt idx="217">
                  <c:v>46232</c:v>
                </c:pt>
                <c:pt idx="218">
                  <c:v>46233</c:v>
                </c:pt>
                <c:pt idx="219">
                  <c:v>46234</c:v>
                </c:pt>
                <c:pt idx="220">
                  <c:v>46237</c:v>
                </c:pt>
                <c:pt idx="221">
                  <c:v>46238</c:v>
                </c:pt>
                <c:pt idx="222">
                  <c:v>46239</c:v>
                </c:pt>
                <c:pt idx="223">
                  <c:v>46240</c:v>
                </c:pt>
                <c:pt idx="224">
                  <c:v>46241</c:v>
                </c:pt>
                <c:pt idx="225">
                  <c:v>46244</c:v>
                </c:pt>
                <c:pt idx="226">
                  <c:v>46245</c:v>
                </c:pt>
                <c:pt idx="227">
                  <c:v>46246</c:v>
                </c:pt>
                <c:pt idx="228">
                  <c:v>46247</c:v>
                </c:pt>
                <c:pt idx="229">
                  <c:v>46248</c:v>
                </c:pt>
                <c:pt idx="230">
                  <c:v>46251</c:v>
                </c:pt>
                <c:pt idx="231">
                  <c:v>46252</c:v>
                </c:pt>
                <c:pt idx="232">
                  <c:v>46253</c:v>
                </c:pt>
                <c:pt idx="233">
                  <c:v>46254</c:v>
                </c:pt>
                <c:pt idx="234">
                  <c:v>46255</c:v>
                </c:pt>
                <c:pt idx="235">
                  <c:v>46258</c:v>
                </c:pt>
                <c:pt idx="236">
                  <c:v>46259</c:v>
                </c:pt>
                <c:pt idx="237">
                  <c:v>46260</c:v>
                </c:pt>
                <c:pt idx="238">
                  <c:v>46261</c:v>
                </c:pt>
                <c:pt idx="239">
                  <c:v>46262</c:v>
                </c:pt>
                <c:pt idx="240">
                  <c:v>46265</c:v>
                </c:pt>
                <c:pt idx="241">
                  <c:v>46266</c:v>
                </c:pt>
                <c:pt idx="242">
                  <c:v>46267</c:v>
                </c:pt>
                <c:pt idx="243">
                  <c:v>46268</c:v>
                </c:pt>
                <c:pt idx="244">
                  <c:v>46269</c:v>
                </c:pt>
                <c:pt idx="245">
                  <c:v>46272</c:v>
                </c:pt>
                <c:pt idx="246">
                  <c:v>46273</c:v>
                </c:pt>
                <c:pt idx="247">
                  <c:v>46274</c:v>
                </c:pt>
                <c:pt idx="248">
                  <c:v>46275</c:v>
                </c:pt>
                <c:pt idx="249">
                  <c:v>46276</c:v>
                </c:pt>
              </c:numCache>
            </c:numRef>
          </c:cat>
          <c:val>
            <c:numRef>
              <c:f>'EWMA Volatility'!$E$2:$E$251</c:f>
              <c:numCache>
                <c:formatCode>0.00%</c:formatCode>
                <c:ptCount val="250"/>
                <c:pt idx="0">
                  <c:v>0.15811388300841897</c:v>
                </c:pt>
                <c:pt idx="1">
                  <c:v>0.15672110385344246</c:v>
                </c:pt>
                <c:pt idx="2">
                  <c:v>0.15501469664377956</c:v>
                </c:pt>
                <c:pt idx="3">
                  <c:v>0.15065921452398034</c:v>
                </c:pt>
                <c:pt idx="4">
                  <c:v>0.14788748215439082</c:v>
                </c:pt>
                <c:pt idx="5">
                  <c:v>0.14515537270052681</c:v>
                </c:pt>
                <c:pt idx="6">
                  <c:v>0.14391399412635003</c:v>
                </c:pt>
                <c:pt idx="7">
                  <c:v>0.14664855670300736</c:v>
                </c:pt>
                <c:pt idx="8">
                  <c:v>0.14229535638919547</c:v>
                </c:pt>
                <c:pt idx="9">
                  <c:v>0.14652758985579628</c:v>
                </c:pt>
                <c:pt idx="10">
                  <c:v>0.15451182510006489</c:v>
                </c:pt>
                <c:pt idx="11">
                  <c:v>0.15022012065418489</c:v>
                </c:pt>
                <c:pt idx="12">
                  <c:v>0.17762131870854467</c:v>
                </c:pt>
                <c:pt idx="13">
                  <c:v>0.17258264054596612</c:v>
                </c:pt>
                <c:pt idx="14">
                  <c:v>0.1695995669578583</c:v>
                </c:pt>
                <c:pt idx="15">
                  <c:v>0.17429675540493855</c:v>
                </c:pt>
                <c:pt idx="16">
                  <c:v>0.17748754528993052</c:v>
                </c:pt>
                <c:pt idx="17">
                  <c:v>0.19195585274141533</c:v>
                </c:pt>
                <c:pt idx="18">
                  <c:v>0.2308251687584012</c:v>
                </c:pt>
                <c:pt idx="19">
                  <c:v>0.22542098793131424</c:v>
                </c:pt>
                <c:pt idx="20">
                  <c:v>0.2247274425298954</c:v>
                </c:pt>
                <c:pt idx="21">
                  <c:v>0.21792552093702058</c:v>
                </c:pt>
                <c:pt idx="22">
                  <c:v>0.21820549433422839</c:v>
                </c:pt>
                <c:pt idx="23">
                  <c:v>0.21178892763183413</c:v>
                </c:pt>
                <c:pt idx="24">
                  <c:v>0.20574179281038948</c:v>
                </c:pt>
                <c:pt idx="25">
                  <c:v>0.19949316071410378</c:v>
                </c:pt>
                <c:pt idx="26">
                  <c:v>0.19363319248630526</c:v>
                </c:pt>
                <c:pt idx="27">
                  <c:v>0.18793996636328772</c:v>
                </c:pt>
                <c:pt idx="28">
                  <c:v>0.18734010682332067</c:v>
                </c:pt>
                <c:pt idx="29">
                  <c:v>0.18302661397194345</c:v>
                </c:pt>
                <c:pt idx="30">
                  <c:v>0.17777478180200423</c:v>
                </c:pt>
                <c:pt idx="31">
                  <c:v>0.17275172026512123</c:v>
                </c:pt>
                <c:pt idx="32">
                  <c:v>0.18770549726931995</c:v>
                </c:pt>
                <c:pt idx="33">
                  <c:v>0.18199193977430789</c:v>
                </c:pt>
                <c:pt idx="34">
                  <c:v>0.18804485586572131</c:v>
                </c:pt>
                <c:pt idx="35">
                  <c:v>0.18372789854428695</c:v>
                </c:pt>
                <c:pt idx="36">
                  <c:v>0.18779975919082353</c:v>
                </c:pt>
                <c:pt idx="37">
                  <c:v>0.18285401912820218</c:v>
                </c:pt>
                <c:pt idx="38">
                  <c:v>0.17771421015121502</c:v>
                </c:pt>
                <c:pt idx="39">
                  <c:v>0.17283295669282378</c:v>
                </c:pt>
                <c:pt idx="40">
                  <c:v>0.1699540216802356</c:v>
                </c:pt>
                <c:pt idx="41">
                  <c:v>0.16542637033868068</c:v>
                </c:pt>
                <c:pt idx="42">
                  <c:v>0.16207515909724879</c:v>
                </c:pt>
                <c:pt idx="43">
                  <c:v>0.16070139984250478</c:v>
                </c:pt>
                <c:pt idx="44">
                  <c:v>0.15898969736166446</c:v>
                </c:pt>
                <c:pt idx="45">
                  <c:v>0.15415778063794877</c:v>
                </c:pt>
                <c:pt idx="46">
                  <c:v>0.15786427730363464</c:v>
                </c:pt>
                <c:pt idx="47">
                  <c:v>0.15396123865150094</c:v>
                </c:pt>
                <c:pt idx="48">
                  <c:v>0.15105192910883217</c:v>
                </c:pt>
                <c:pt idx="49">
                  <c:v>0.14672699274724363</c:v>
                </c:pt>
                <c:pt idx="50">
                  <c:v>0.14226180915181769</c:v>
                </c:pt>
                <c:pt idx="51">
                  <c:v>0.138310804580455</c:v>
                </c:pt>
                <c:pt idx="52">
                  <c:v>0.13525279522986849</c:v>
                </c:pt>
                <c:pt idx="53">
                  <c:v>0.13313605353389132</c:v>
                </c:pt>
                <c:pt idx="54">
                  <c:v>0.12908789166589529</c:v>
                </c:pt>
                <c:pt idx="55">
                  <c:v>0.13963496212348528</c:v>
                </c:pt>
                <c:pt idx="56">
                  <c:v>0.1362474060081697</c:v>
                </c:pt>
                <c:pt idx="57">
                  <c:v>0.13239751681535131</c:v>
                </c:pt>
                <c:pt idx="58">
                  <c:v>0.12839370381595999</c:v>
                </c:pt>
                <c:pt idx="59">
                  <c:v>0.12695472596773083</c:v>
                </c:pt>
                <c:pt idx="60">
                  <c:v>0.12310294163579166</c:v>
                </c:pt>
                <c:pt idx="61">
                  <c:v>0.12268450243738213</c:v>
                </c:pt>
                <c:pt idx="62">
                  <c:v>0.12871255265374484</c:v>
                </c:pt>
                <c:pt idx="63">
                  <c:v>0.12936744032802827</c:v>
                </c:pt>
                <c:pt idx="64">
                  <c:v>0.12549518089728345</c:v>
                </c:pt>
                <c:pt idx="65">
                  <c:v>0.1294713826515782</c:v>
                </c:pt>
                <c:pt idx="66">
                  <c:v>0.17296505178182731</c:v>
                </c:pt>
                <c:pt idx="67">
                  <c:v>0.17551023260902138</c:v>
                </c:pt>
                <c:pt idx="68">
                  <c:v>0.17908476500525786</c:v>
                </c:pt>
                <c:pt idx="69">
                  <c:v>0.17364592932219608</c:v>
                </c:pt>
                <c:pt idx="70">
                  <c:v>0.18825228123132123</c:v>
                </c:pt>
                <c:pt idx="71">
                  <c:v>0.18770233287836935</c:v>
                </c:pt>
                <c:pt idx="72">
                  <c:v>0.18445285366724271</c:v>
                </c:pt>
                <c:pt idx="73">
                  <c:v>0.17923549447675224</c:v>
                </c:pt>
                <c:pt idx="74">
                  <c:v>0.1785203497922403</c:v>
                </c:pt>
                <c:pt idx="75">
                  <c:v>0.18815012729287006</c:v>
                </c:pt>
                <c:pt idx="76">
                  <c:v>0.18242337333484795</c:v>
                </c:pt>
                <c:pt idx="77">
                  <c:v>0.17914853598004896</c:v>
                </c:pt>
                <c:pt idx="78">
                  <c:v>0.17369147730163159</c:v>
                </c:pt>
                <c:pt idx="79">
                  <c:v>0.17051868313275031</c:v>
                </c:pt>
                <c:pt idx="80">
                  <c:v>0.16532573275170345</c:v>
                </c:pt>
                <c:pt idx="81">
                  <c:v>0.17944924535683038</c:v>
                </c:pt>
                <c:pt idx="82">
                  <c:v>0.17797157340252193</c:v>
                </c:pt>
                <c:pt idx="83">
                  <c:v>0.17878955456066387</c:v>
                </c:pt>
                <c:pt idx="84">
                  <c:v>0.18001541875563482</c:v>
                </c:pt>
                <c:pt idx="85">
                  <c:v>0.19563342114917523</c:v>
                </c:pt>
                <c:pt idx="86">
                  <c:v>0.19085519550166882</c:v>
                </c:pt>
                <c:pt idx="87">
                  <c:v>0.21714787364801644</c:v>
                </c:pt>
                <c:pt idx="88">
                  <c:v>0.21060301743469778</c:v>
                </c:pt>
                <c:pt idx="89">
                  <c:v>0.38671823304533703</c:v>
                </c:pt>
                <c:pt idx="90">
                  <c:v>0.37728316307817017</c:v>
                </c:pt>
                <c:pt idx="91">
                  <c:v>0.38967382176473314</c:v>
                </c:pt>
                <c:pt idx="92">
                  <c:v>0.37782388376000065</c:v>
                </c:pt>
                <c:pt idx="93">
                  <c:v>0.37133465673777144</c:v>
                </c:pt>
                <c:pt idx="94">
                  <c:v>0.36373376333511098</c:v>
                </c:pt>
                <c:pt idx="95">
                  <c:v>0.35934218812575941</c:v>
                </c:pt>
                <c:pt idx="96">
                  <c:v>0.34940430753835033</c:v>
                </c:pt>
                <c:pt idx="97">
                  <c:v>0.34091397871143225</c:v>
                </c:pt>
                <c:pt idx="98">
                  <c:v>0.34657288400238245</c:v>
                </c:pt>
                <c:pt idx="99">
                  <c:v>0.33952380588643055</c:v>
                </c:pt>
                <c:pt idx="100">
                  <c:v>0.32918056207699703</c:v>
                </c:pt>
                <c:pt idx="101">
                  <c:v>0.32713679357450076</c:v>
                </c:pt>
                <c:pt idx="102">
                  <c:v>0.32348453507669678</c:v>
                </c:pt>
                <c:pt idx="103">
                  <c:v>0.31371589764344582</c:v>
                </c:pt>
                <c:pt idx="104">
                  <c:v>0.30957720338318351</c:v>
                </c:pt>
                <c:pt idx="105">
                  <c:v>0.30733505996421201</c:v>
                </c:pt>
                <c:pt idx="106">
                  <c:v>0.29813130077828287</c:v>
                </c:pt>
                <c:pt idx="107">
                  <c:v>0.29194985914290722</c:v>
                </c:pt>
                <c:pt idx="108">
                  <c:v>0.28450367910963048</c:v>
                </c:pt>
                <c:pt idx="109">
                  <c:v>0.27828864621543969</c:v>
                </c:pt>
                <c:pt idx="110">
                  <c:v>0.26996299327901002</c:v>
                </c:pt>
                <c:pt idx="111">
                  <c:v>0.27967693676434341</c:v>
                </c:pt>
                <c:pt idx="112">
                  <c:v>0.27130544450177796</c:v>
                </c:pt>
                <c:pt idx="113">
                  <c:v>0.26454163357981836</c:v>
                </c:pt>
                <c:pt idx="114">
                  <c:v>0.25801845313477129</c:v>
                </c:pt>
                <c:pt idx="115">
                  <c:v>0.25060520231936534</c:v>
                </c:pt>
                <c:pt idx="116">
                  <c:v>0.25430217485861134</c:v>
                </c:pt>
                <c:pt idx="117">
                  <c:v>0.24941302857248765</c:v>
                </c:pt>
                <c:pt idx="118">
                  <c:v>0.24443141699673554</c:v>
                </c:pt>
                <c:pt idx="119">
                  <c:v>0.24100413802922882</c:v>
                </c:pt>
                <c:pt idx="120">
                  <c:v>0.23460004440165899</c:v>
                </c:pt>
                <c:pt idx="121">
                  <c:v>0.22751656141260301</c:v>
                </c:pt>
                <c:pt idx="122">
                  <c:v>0.22910715966201026</c:v>
                </c:pt>
                <c:pt idx="123">
                  <c:v>0.26628312590155562</c:v>
                </c:pt>
                <c:pt idx="124">
                  <c:v>0.2598771296207556</c:v>
                </c:pt>
                <c:pt idx="125">
                  <c:v>0.25973887791784483</c:v>
                </c:pt>
                <c:pt idx="126">
                  <c:v>0.25186056639857962</c:v>
                </c:pt>
                <c:pt idx="127">
                  <c:v>0.25913859201063438</c:v>
                </c:pt>
                <c:pt idx="128">
                  <c:v>0.27555176913312002</c:v>
                </c:pt>
                <c:pt idx="129">
                  <c:v>0.27116980219792586</c:v>
                </c:pt>
                <c:pt idx="130">
                  <c:v>0.26321246198737624</c:v>
                </c:pt>
                <c:pt idx="131">
                  <c:v>0.27212052501489969</c:v>
                </c:pt>
                <c:pt idx="132">
                  <c:v>0.27391194145098452</c:v>
                </c:pt>
                <c:pt idx="133">
                  <c:v>0.27348929873948763</c:v>
                </c:pt>
                <c:pt idx="134">
                  <c:v>0.26516076244300024</c:v>
                </c:pt>
                <c:pt idx="135">
                  <c:v>0.25712712996293002</c:v>
                </c:pt>
                <c:pt idx="136">
                  <c:v>0.24929869261580292</c:v>
                </c:pt>
                <c:pt idx="137">
                  <c:v>0.25476906860654741</c:v>
                </c:pt>
                <c:pt idx="138">
                  <c:v>0.24834782873212785</c:v>
                </c:pt>
                <c:pt idx="139">
                  <c:v>0.24099094873038399</c:v>
                </c:pt>
                <c:pt idx="140">
                  <c:v>0.23367222444085717</c:v>
                </c:pt>
                <c:pt idx="141">
                  <c:v>0.23585121914353979</c:v>
                </c:pt>
                <c:pt idx="142">
                  <c:v>0.22866720017267536</c:v>
                </c:pt>
                <c:pt idx="143">
                  <c:v>0.22178587525386226</c:v>
                </c:pt>
                <c:pt idx="144">
                  <c:v>0.22100248946927259</c:v>
                </c:pt>
                <c:pt idx="145">
                  <c:v>0.21660091166163747</c:v>
                </c:pt>
                <c:pt idx="146">
                  <c:v>0.21858993904713303</c:v>
                </c:pt>
                <c:pt idx="147">
                  <c:v>0.2139911321672304</c:v>
                </c:pt>
                <c:pt idx="148">
                  <c:v>0.20916767919345544</c:v>
                </c:pt>
                <c:pt idx="149">
                  <c:v>0.20382371831183732</c:v>
                </c:pt>
                <c:pt idx="150">
                  <c:v>0.19904142775770428</c:v>
                </c:pt>
                <c:pt idx="151">
                  <c:v>0.19884905867097635</c:v>
                </c:pt>
                <c:pt idx="152">
                  <c:v>0.19440159788799805</c:v>
                </c:pt>
                <c:pt idx="153">
                  <c:v>0.19395202231991285</c:v>
                </c:pt>
                <c:pt idx="154">
                  <c:v>0.18897826367351997</c:v>
                </c:pt>
                <c:pt idx="155">
                  <c:v>0.19330842262459344</c:v>
                </c:pt>
                <c:pt idx="156">
                  <c:v>0.18880762899919037</c:v>
                </c:pt>
                <c:pt idx="157">
                  <c:v>0.20214319125375374</c:v>
                </c:pt>
                <c:pt idx="158">
                  <c:v>0.1967215498221854</c:v>
                </c:pt>
                <c:pt idx="159">
                  <c:v>0.19208976729877494</c:v>
                </c:pt>
                <c:pt idx="160">
                  <c:v>0.18760622167875365</c:v>
                </c:pt>
                <c:pt idx="161">
                  <c:v>0.18311252883032469</c:v>
                </c:pt>
                <c:pt idx="162">
                  <c:v>0.17953592724906708</c:v>
                </c:pt>
                <c:pt idx="163">
                  <c:v>0.1748947151613589</c:v>
                </c:pt>
                <c:pt idx="164">
                  <c:v>0.1931293853825771</c:v>
                </c:pt>
                <c:pt idx="165">
                  <c:v>0.18732258613741928</c:v>
                </c:pt>
                <c:pt idx="166">
                  <c:v>0.18440697505070738</c:v>
                </c:pt>
                <c:pt idx="167">
                  <c:v>0.18031981284916274</c:v>
                </c:pt>
                <c:pt idx="168">
                  <c:v>0.17501599933902373</c:v>
                </c:pt>
                <c:pt idx="169">
                  <c:v>0.16983897375459178</c:v>
                </c:pt>
                <c:pt idx="170">
                  <c:v>0.1646677332642256</c:v>
                </c:pt>
                <c:pt idx="171">
                  <c:v>0.15965576771177717</c:v>
                </c:pt>
                <c:pt idx="172">
                  <c:v>0.15767254722923782</c:v>
                </c:pt>
                <c:pt idx="173">
                  <c:v>0.15623218676029713</c:v>
                </c:pt>
                <c:pt idx="174">
                  <c:v>0.15446306638570947</c:v>
                </c:pt>
                <c:pt idx="175">
                  <c:v>0.15409895943041124</c:v>
                </c:pt>
                <c:pt idx="176">
                  <c:v>0.14969745338376633</c:v>
                </c:pt>
                <c:pt idx="177">
                  <c:v>0.14928540453970643</c:v>
                </c:pt>
                <c:pt idx="178">
                  <c:v>0.14583717078992678</c:v>
                </c:pt>
                <c:pt idx="179">
                  <c:v>0.1786377786455238</c:v>
                </c:pt>
                <c:pt idx="180">
                  <c:v>0.17319579749687555</c:v>
                </c:pt>
                <c:pt idx="181">
                  <c:v>0.17657081757390572</c:v>
                </c:pt>
                <c:pt idx="182">
                  <c:v>0.19153352875128793</c:v>
                </c:pt>
                <c:pt idx="183">
                  <c:v>0.18583525452932423</c:v>
                </c:pt>
                <c:pt idx="184">
                  <c:v>0.19936140356835871</c:v>
                </c:pt>
                <c:pt idx="185">
                  <c:v>0.20990745519841647</c:v>
                </c:pt>
                <c:pt idx="186">
                  <c:v>0.20368833219312465</c:v>
                </c:pt>
                <c:pt idx="187">
                  <c:v>0.19767625098191158</c:v>
                </c:pt>
                <c:pt idx="188">
                  <c:v>0.20478913448268043</c:v>
                </c:pt>
                <c:pt idx="189">
                  <c:v>0.19855584679237084</c:v>
                </c:pt>
                <c:pt idx="190">
                  <c:v>0.19412000046104297</c:v>
                </c:pt>
                <c:pt idx="191">
                  <c:v>0.19764724407535159</c:v>
                </c:pt>
                <c:pt idx="192">
                  <c:v>0.21209177280177607</c:v>
                </c:pt>
                <c:pt idx="193">
                  <c:v>0.2069136522187992</c:v>
                </c:pt>
                <c:pt idx="194">
                  <c:v>0.20212081324699063</c:v>
                </c:pt>
                <c:pt idx="195">
                  <c:v>0.19685388988654345</c:v>
                </c:pt>
                <c:pt idx="196">
                  <c:v>0.19175417142807888</c:v>
                </c:pt>
                <c:pt idx="197">
                  <c:v>0.18695649727903657</c:v>
                </c:pt>
                <c:pt idx="198">
                  <c:v>0.18204703464283517</c:v>
                </c:pt>
                <c:pt idx="199">
                  <c:v>0.17650263434809166</c:v>
                </c:pt>
                <c:pt idx="200">
                  <c:v>0.17469317145911764</c:v>
                </c:pt>
                <c:pt idx="201">
                  <c:v>0.17017748466290714</c:v>
                </c:pt>
                <c:pt idx="202">
                  <c:v>0.17278571545844393</c:v>
                </c:pt>
                <c:pt idx="203">
                  <c:v>0.17513210115805344</c:v>
                </c:pt>
                <c:pt idx="204">
                  <c:v>0.17024354065923936</c:v>
                </c:pt>
                <c:pt idx="205">
                  <c:v>0.18126130652203723</c:v>
                </c:pt>
                <c:pt idx="206">
                  <c:v>0.18092333790970386</c:v>
                </c:pt>
                <c:pt idx="207">
                  <c:v>0.17602883214377993</c:v>
                </c:pt>
                <c:pt idx="208">
                  <c:v>0.17546424019525705</c:v>
                </c:pt>
                <c:pt idx="209">
                  <c:v>0.17016225205840138</c:v>
                </c:pt>
                <c:pt idx="210">
                  <c:v>0.16498710527781621</c:v>
                </c:pt>
                <c:pt idx="211">
                  <c:v>0.16789496749106572</c:v>
                </c:pt>
                <c:pt idx="212">
                  <c:v>0.16782128221125578</c:v>
                </c:pt>
                <c:pt idx="213">
                  <c:v>0.17739200765564989</c:v>
                </c:pt>
                <c:pt idx="214">
                  <c:v>0.17229943422845598</c:v>
                </c:pt>
                <c:pt idx="215">
                  <c:v>0.16706194508748923</c:v>
                </c:pt>
                <c:pt idx="216">
                  <c:v>0.16443642439929129</c:v>
                </c:pt>
                <c:pt idx="217">
                  <c:v>0.15976175892423197</c:v>
                </c:pt>
                <c:pt idx="218">
                  <c:v>0.165830148575416</c:v>
                </c:pt>
                <c:pt idx="219">
                  <c:v>0.16311926452960077</c:v>
                </c:pt>
                <c:pt idx="220">
                  <c:v>0.1581722673440929</c:v>
                </c:pt>
                <c:pt idx="221">
                  <c:v>0.1647956035723615</c:v>
                </c:pt>
                <c:pt idx="222">
                  <c:v>0.17913200695014328</c:v>
                </c:pt>
                <c:pt idx="223">
                  <c:v>0.17378005283373871</c:v>
                </c:pt>
                <c:pt idx="224">
                  <c:v>0.179473495464225</c:v>
                </c:pt>
                <c:pt idx="225">
                  <c:v>0.17490299571751866</c:v>
                </c:pt>
                <c:pt idx="226">
                  <c:v>0.16971313166104179</c:v>
                </c:pt>
                <c:pt idx="227">
                  <c:v>0.1656523340328766</c:v>
                </c:pt>
                <c:pt idx="228">
                  <c:v>0.16153860727415395</c:v>
                </c:pt>
                <c:pt idx="229">
                  <c:v>0.1567921057507837</c:v>
                </c:pt>
                <c:pt idx="230">
                  <c:v>0.15347268737374914</c:v>
                </c:pt>
                <c:pt idx="231">
                  <c:v>0.15449067872573188</c:v>
                </c:pt>
                <c:pt idx="232">
                  <c:v>0.16319427417005344</c:v>
                </c:pt>
                <c:pt idx="233">
                  <c:v>0.15939574739094714</c:v>
                </c:pt>
                <c:pt idx="234">
                  <c:v>0.16516726484062455</c:v>
                </c:pt>
                <c:pt idx="235">
                  <c:v>0.1601464788508665</c:v>
                </c:pt>
                <c:pt idx="236">
                  <c:v>0.15528886965089503</c:v>
                </c:pt>
                <c:pt idx="237">
                  <c:v>0.15179941573748895</c:v>
                </c:pt>
                <c:pt idx="238">
                  <c:v>0.14834547963216951</c:v>
                </c:pt>
                <c:pt idx="239">
                  <c:v>0.16021497244176189</c:v>
                </c:pt>
                <c:pt idx="240">
                  <c:v>0.15777397784275182</c:v>
                </c:pt>
                <c:pt idx="241">
                  <c:v>0.16130050417020286</c:v>
                </c:pt>
                <c:pt idx="242">
                  <c:v>0.15678142726127331</c:v>
                </c:pt>
                <c:pt idx="243">
                  <c:v>0.16893121635493696</c:v>
                </c:pt>
                <c:pt idx="244">
                  <c:v>0.16748075826488995</c:v>
                </c:pt>
                <c:pt idx="245">
                  <c:v>0.16237864274122091</c:v>
                </c:pt>
                <c:pt idx="246">
                  <c:v>0.15876812069063545</c:v>
                </c:pt>
                <c:pt idx="247">
                  <c:v>0.15456308855584511</c:v>
                </c:pt>
                <c:pt idx="248">
                  <c:v>0.15661212387191067</c:v>
                </c:pt>
                <c:pt idx="249">
                  <c:v>0.15470201561060687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69-4DA9-A34D-49C778435016}"/>
            </c:ext>
          </c:extLst>
        </c:ser>
        <c:ser>
          <c:idx val="1"/>
          <c:order val="1"/>
          <c:tx>
            <c:strRef>
              <c:f>'EWMA Volatility'!$F$1</c:f>
              <c:strCache>
                <c:ptCount val="1"/>
                <c:pt idx="0">
                  <c:v>EWMA 0.97</c:v>
                </c:pt>
              </c:strCache>
            </c:strRef>
          </c:tx>
          <c:spPr>
            <a:ln w="158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numRef>
              <c:f>'EWMA Volatility'!$A$2:$A$251</c:f>
              <c:numCache>
                <c:formatCode>m/d/yyyy</c:formatCode>
                <c:ptCount val="250"/>
                <c:pt idx="0">
                  <c:v>45925</c:v>
                </c:pt>
                <c:pt idx="1">
                  <c:v>45926</c:v>
                </c:pt>
                <c:pt idx="2">
                  <c:v>45929</c:v>
                </c:pt>
                <c:pt idx="3">
                  <c:v>45930</c:v>
                </c:pt>
                <c:pt idx="4">
                  <c:v>45931</c:v>
                </c:pt>
                <c:pt idx="5">
                  <c:v>45932</c:v>
                </c:pt>
                <c:pt idx="6">
                  <c:v>45933</c:v>
                </c:pt>
                <c:pt idx="7">
                  <c:v>45936</c:v>
                </c:pt>
                <c:pt idx="8">
                  <c:v>45937</c:v>
                </c:pt>
                <c:pt idx="9">
                  <c:v>45938</c:v>
                </c:pt>
                <c:pt idx="10">
                  <c:v>45939</c:v>
                </c:pt>
                <c:pt idx="11">
                  <c:v>45940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45950</c:v>
                </c:pt>
                <c:pt idx="18">
                  <c:v>45951</c:v>
                </c:pt>
                <c:pt idx="19">
                  <c:v>45952</c:v>
                </c:pt>
                <c:pt idx="20">
                  <c:v>45953</c:v>
                </c:pt>
                <c:pt idx="21">
                  <c:v>45954</c:v>
                </c:pt>
                <c:pt idx="22">
                  <c:v>45957</c:v>
                </c:pt>
                <c:pt idx="23">
                  <c:v>45958</c:v>
                </c:pt>
                <c:pt idx="24">
                  <c:v>45959</c:v>
                </c:pt>
                <c:pt idx="25">
                  <c:v>45960</c:v>
                </c:pt>
                <c:pt idx="26">
                  <c:v>45961</c:v>
                </c:pt>
                <c:pt idx="27">
                  <c:v>45964</c:v>
                </c:pt>
                <c:pt idx="28">
                  <c:v>45965</c:v>
                </c:pt>
                <c:pt idx="29">
                  <c:v>45966</c:v>
                </c:pt>
                <c:pt idx="30">
                  <c:v>45967</c:v>
                </c:pt>
                <c:pt idx="31">
                  <c:v>45968</c:v>
                </c:pt>
                <c:pt idx="32">
                  <c:v>45971</c:v>
                </c:pt>
                <c:pt idx="33">
                  <c:v>45972</c:v>
                </c:pt>
                <c:pt idx="34">
                  <c:v>45973</c:v>
                </c:pt>
                <c:pt idx="35">
                  <c:v>45974</c:v>
                </c:pt>
                <c:pt idx="36">
                  <c:v>45975</c:v>
                </c:pt>
                <c:pt idx="37">
                  <c:v>45978</c:v>
                </c:pt>
                <c:pt idx="38">
                  <c:v>45979</c:v>
                </c:pt>
                <c:pt idx="39">
                  <c:v>45980</c:v>
                </c:pt>
                <c:pt idx="40">
                  <c:v>45981</c:v>
                </c:pt>
                <c:pt idx="41">
                  <c:v>45982</c:v>
                </c:pt>
                <c:pt idx="42">
                  <c:v>45985</c:v>
                </c:pt>
                <c:pt idx="43">
                  <c:v>45986</c:v>
                </c:pt>
                <c:pt idx="44">
                  <c:v>45987</c:v>
                </c:pt>
                <c:pt idx="45">
                  <c:v>45988</c:v>
                </c:pt>
                <c:pt idx="46">
                  <c:v>45989</c:v>
                </c:pt>
                <c:pt idx="47">
                  <c:v>45992</c:v>
                </c:pt>
                <c:pt idx="48">
                  <c:v>45993</c:v>
                </c:pt>
                <c:pt idx="49">
                  <c:v>45994</c:v>
                </c:pt>
                <c:pt idx="50">
                  <c:v>45995</c:v>
                </c:pt>
                <c:pt idx="51">
                  <c:v>45996</c:v>
                </c:pt>
                <c:pt idx="52">
                  <c:v>45999</c:v>
                </c:pt>
                <c:pt idx="53">
                  <c:v>46000</c:v>
                </c:pt>
                <c:pt idx="54">
                  <c:v>46001</c:v>
                </c:pt>
                <c:pt idx="55">
                  <c:v>46002</c:v>
                </c:pt>
                <c:pt idx="56">
                  <c:v>46003</c:v>
                </c:pt>
                <c:pt idx="57">
                  <c:v>46006</c:v>
                </c:pt>
                <c:pt idx="58">
                  <c:v>46007</c:v>
                </c:pt>
                <c:pt idx="59">
                  <c:v>46008</c:v>
                </c:pt>
                <c:pt idx="60">
                  <c:v>46009</c:v>
                </c:pt>
                <c:pt idx="61">
                  <c:v>46010</c:v>
                </c:pt>
                <c:pt idx="62">
                  <c:v>46013</c:v>
                </c:pt>
                <c:pt idx="63">
                  <c:v>46014</c:v>
                </c:pt>
                <c:pt idx="64">
                  <c:v>46015</c:v>
                </c:pt>
                <c:pt idx="65">
                  <c:v>46017</c:v>
                </c:pt>
                <c:pt idx="66">
                  <c:v>46020</c:v>
                </c:pt>
                <c:pt idx="67">
                  <c:v>46021</c:v>
                </c:pt>
                <c:pt idx="68">
                  <c:v>46022</c:v>
                </c:pt>
                <c:pt idx="69">
                  <c:v>46024</c:v>
                </c:pt>
                <c:pt idx="70">
                  <c:v>46027</c:v>
                </c:pt>
                <c:pt idx="71">
                  <c:v>46028</c:v>
                </c:pt>
                <c:pt idx="72">
                  <c:v>46029</c:v>
                </c:pt>
                <c:pt idx="73">
                  <c:v>46030</c:v>
                </c:pt>
                <c:pt idx="74">
                  <c:v>46031</c:v>
                </c:pt>
                <c:pt idx="75">
                  <c:v>46034</c:v>
                </c:pt>
                <c:pt idx="76">
                  <c:v>46035</c:v>
                </c:pt>
                <c:pt idx="77">
                  <c:v>46036</c:v>
                </c:pt>
                <c:pt idx="78">
                  <c:v>46037</c:v>
                </c:pt>
                <c:pt idx="79">
                  <c:v>46038</c:v>
                </c:pt>
                <c:pt idx="80">
                  <c:v>46041</c:v>
                </c:pt>
                <c:pt idx="81">
                  <c:v>46042</c:v>
                </c:pt>
                <c:pt idx="82">
                  <c:v>46043</c:v>
                </c:pt>
                <c:pt idx="83">
                  <c:v>46044</c:v>
                </c:pt>
                <c:pt idx="84">
                  <c:v>46045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46055</c:v>
                </c:pt>
                <c:pt idx="91">
                  <c:v>46056</c:v>
                </c:pt>
                <c:pt idx="92">
                  <c:v>46057</c:v>
                </c:pt>
                <c:pt idx="93">
                  <c:v>46058</c:v>
                </c:pt>
                <c:pt idx="94">
                  <c:v>46059</c:v>
                </c:pt>
                <c:pt idx="95">
                  <c:v>46062</c:v>
                </c:pt>
                <c:pt idx="96">
                  <c:v>46063</c:v>
                </c:pt>
                <c:pt idx="97">
                  <c:v>46064</c:v>
                </c:pt>
                <c:pt idx="98">
                  <c:v>46065</c:v>
                </c:pt>
                <c:pt idx="99">
                  <c:v>46066</c:v>
                </c:pt>
                <c:pt idx="100">
                  <c:v>46069</c:v>
                </c:pt>
                <c:pt idx="101">
                  <c:v>46070</c:v>
                </c:pt>
                <c:pt idx="102">
                  <c:v>46071</c:v>
                </c:pt>
                <c:pt idx="103">
                  <c:v>46072</c:v>
                </c:pt>
                <c:pt idx="104">
                  <c:v>46073</c:v>
                </c:pt>
                <c:pt idx="105">
                  <c:v>46076</c:v>
                </c:pt>
                <c:pt idx="106">
                  <c:v>46077</c:v>
                </c:pt>
                <c:pt idx="107">
                  <c:v>46078</c:v>
                </c:pt>
                <c:pt idx="108">
                  <c:v>46079</c:v>
                </c:pt>
                <c:pt idx="109">
                  <c:v>46080</c:v>
                </c:pt>
                <c:pt idx="110">
                  <c:v>46083</c:v>
                </c:pt>
                <c:pt idx="111">
                  <c:v>46084</c:v>
                </c:pt>
                <c:pt idx="112">
                  <c:v>46085</c:v>
                </c:pt>
                <c:pt idx="113">
                  <c:v>46086</c:v>
                </c:pt>
                <c:pt idx="114">
                  <c:v>46087</c:v>
                </c:pt>
                <c:pt idx="115">
                  <c:v>46090</c:v>
                </c:pt>
                <c:pt idx="116">
                  <c:v>46091</c:v>
                </c:pt>
                <c:pt idx="117">
                  <c:v>46092</c:v>
                </c:pt>
                <c:pt idx="118">
                  <c:v>46093</c:v>
                </c:pt>
                <c:pt idx="119">
                  <c:v>46094</c:v>
                </c:pt>
                <c:pt idx="120">
                  <c:v>46097</c:v>
                </c:pt>
                <c:pt idx="121">
                  <c:v>46098</c:v>
                </c:pt>
                <c:pt idx="122">
                  <c:v>46099</c:v>
                </c:pt>
                <c:pt idx="123">
                  <c:v>46100</c:v>
                </c:pt>
                <c:pt idx="124">
                  <c:v>46101</c:v>
                </c:pt>
                <c:pt idx="125">
                  <c:v>46104</c:v>
                </c:pt>
                <c:pt idx="126">
                  <c:v>46105</c:v>
                </c:pt>
                <c:pt idx="127">
                  <c:v>46106</c:v>
                </c:pt>
                <c:pt idx="128">
                  <c:v>46107</c:v>
                </c:pt>
                <c:pt idx="129">
                  <c:v>46108</c:v>
                </c:pt>
                <c:pt idx="130">
                  <c:v>46111</c:v>
                </c:pt>
                <c:pt idx="131">
                  <c:v>46112</c:v>
                </c:pt>
                <c:pt idx="132">
                  <c:v>46113</c:v>
                </c:pt>
                <c:pt idx="133">
                  <c:v>46114</c:v>
                </c:pt>
                <c:pt idx="134">
                  <c:v>46115</c:v>
                </c:pt>
                <c:pt idx="135">
                  <c:v>46118</c:v>
                </c:pt>
                <c:pt idx="136">
                  <c:v>46119</c:v>
                </c:pt>
                <c:pt idx="137">
                  <c:v>46120</c:v>
                </c:pt>
                <c:pt idx="138">
                  <c:v>46121</c:v>
                </c:pt>
                <c:pt idx="139">
                  <c:v>46122</c:v>
                </c:pt>
                <c:pt idx="140">
                  <c:v>46125</c:v>
                </c:pt>
                <c:pt idx="141">
                  <c:v>46126</c:v>
                </c:pt>
                <c:pt idx="142">
                  <c:v>46127</c:v>
                </c:pt>
                <c:pt idx="143">
                  <c:v>46128</c:v>
                </c:pt>
                <c:pt idx="144">
                  <c:v>46129</c:v>
                </c:pt>
                <c:pt idx="145">
                  <c:v>46132</c:v>
                </c:pt>
                <c:pt idx="146">
                  <c:v>46133</c:v>
                </c:pt>
                <c:pt idx="147">
                  <c:v>46134</c:v>
                </c:pt>
                <c:pt idx="148">
                  <c:v>46135</c:v>
                </c:pt>
                <c:pt idx="149">
                  <c:v>46136</c:v>
                </c:pt>
                <c:pt idx="150">
                  <c:v>46139</c:v>
                </c:pt>
                <c:pt idx="151">
                  <c:v>46140</c:v>
                </c:pt>
                <c:pt idx="152">
                  <c:v>46141</c:v>
                </c:pt>
                <c:pt idx="153">
                  <c:v>46142</c:v>
                </c:pt>
                <c:pt idx="154">
                  <c:v>46143</c:v>
                </c:pt>
                <c:pt idx="155">
                  <c:v>46146</c:v>
                </c:pt>
                <c:pt idx="156">
                  <c:v>46147</c:v>
                </c:pt>
                <c:pt idx="157">
                  <c:v>46148</c:v>
                </c:pt>
                <c:pt idx="158">
                  <c:v>46149</c:v>
                </c:pt>
                <c:pt idx="159">
                  <c:v>46150</c:v>
                </c:pt>
                <c:pt idx="160">
                  <c:v>46153</c:v>
                </c:pt>
                <c:pt idx="161">
                  <c:v>46154</c:v>
                </c:pt>
                <c:pt idx="162">
                  <c:v>46155</c:v>
                </c:pt>
                <c:pt idx="163">
                  <c:v>46156</c:v>
                </c:pt>
                <c:pt idx="164">
                  <c:v>46157</c:v>
                </c:pt>
                <c:pt idx="165">
                  <c:v>46160</c:v>
                </c:pt>
                <c:pt idx="166">
                  <c:v>46161</c:v>
                </c:pt>
                <c:pt idx="167">
                  <c:v>46162</c:v>
                </c:pt>
                <c:pt idx="168">
                  <c:v>46163</c:v>
                </c:pt>
                <c:pt idx="169">
                  <c:v>46164</c:v>
                </c:pt>
                <c:pt idx="170">
                  <c:v>46167</c:v>
                </c:pt>
                <c:pt idx="171">
                  <c:v>46168</c:v>
                </c:pt>
                <c:pt idx="172">
                  <c:v>46169</c:v>
                </c:pt>
                <c:pt idx="173">
                  <c:v>46170</c:v>
                </c:pt>
                <c:pt idx="174">
                  <c:v>46171</c:v>
                </c:pt>
                <c:pt idx="175">
                  <c:v>46174</c:v>
                </c:pt>
                <c:pt idx="176">
                  <c:v>46175</c:v>
                </c:pt>
                <c:pt idx="177">
                  <c:v>46176</c:v>
                </c:pt>
                <c:pt idx="178">
                  <c:v>46177</c:v>
                </c:pt>
                <c:pt idx="179">
                  <c:v>46178</c:v>
                </c:pt>
                <c:pt idx="180">
                  <c:v>46181</c:v>
                </c:pt>
                <c:pt idx="181">
                  <c:v>46182</c:v>
                </c:pt>
                <c:pt idx="182">
                  <c:v>46183</c:v>
                </c:pt>
                <c:pt idx="183">
                  <c:v>46184</c:v>
                </c:pt>
                <c:pt idx="184">
                  <c:v>46185</c:v>
                </c:pt>
                <c:pt idx="185">
                  <c:v>46188</c:v>
                </c:pt>
                <c:pt idx="186">
                  <c:v>46189</c:v>
                </c:pt>
                <c:pt idx="187">
                  <c:v>46190</c:v>
                </c:pt>
                <c:pt idx="188">
                  <c:v>46191</c:v>
                </c:pt>
                <c:pt idx="189">
                  <c:v>46192</c:v>
                </c:pt>
                <c:pt idx="190">
                  <c:v>46195</c:v>
                </c:pt>
                <c:pt idx="191">
                  <c:v>46196</c:v>
                </c:pt>
                <c:pt idx="192">
                  <c:v>46197</c:v>
                </c:pt>
                <c:pt idx="193">
                  <c:v>46198</c:v>
                </c:pt>
                <c:pt idx="194">
                  <c:v>46199</c:v>
                </c:pt>
                <c:pt idx="195">
                  <c:v>46202</c:v>
                </c:pt>
                <c:pt idx="196">
                  <c:v>46203</c:v>
                </c:pt>
                <c:pt idx="197">
                  <c:v>46204</c:v>
                </c:pt>
                <c:pt idx="198">
                  <c:v>46205</c:v>
                </c:pt>
                <c:pt idx="199">
                  <c:v>46206</c:v>
                </c:pt>
                <c:pt idx="200">
                  <c:v>46209</c:v>
                </c:pt>
                <c:pt idx="201">
                  <c:v>46210</c:v>
                </c:pt>
                <c:pt idx="202">
                  <c:v>46211</c:v>
                </c:pt>
                <c:pt idx="203">
                  <c:v>46212</c:v>
                </c:pt>
                <c:pt idx="204">
                  <c:v>46213</c:v>
                </c:pt>
                <c:pt idx="205">
                  <c:v>46216</c:v>
                </c:pt>
                <c:pt idx="206">
                  <c:v>46217</c:v>
                </c:pt>
                <c:pt idx="207">
                  <c:v>46218</c:v>
                </c:pt>
                <c:pt idx="208">
                  <c:v>46219</c:v>
                </c:pt>
                <c:pt idx="209">
                  <c:v>46220</c:v>
                </c:pt>
                <c:pt idx="210">
                  <c:v>46223</c:v>
                </c:pt>
                <c:pt idx="211">
                  <c:v>46224</c:v>
                </c:pt>
                <c:pt idx="212">
                  <c:v>46225</c:v>
                </c:pt>
                <c:pt idx="213">
                  <c:v>46226</c:v>
                </c:pt>
                <c:pt idx="214">
                  <c:v>46227</c:v>
                </c:pt>
                <c:pt idx="215">
                  <c:v>46230</c:v>
                </c:pt>
                <c:pt idx="216">
                  <c:v>46231</c:v>
                </c:pt>
                <c:pt idx="217">
                  <c:v>46232</c:v>
                </c:pt>
                <c:pt idx="218">
                  <c:v>46233</c:v>
                </c:pt>
                <c:pt idx="219">
                  <c:v>46234</c:v>
                </c:pt>
                <c:pt idx="220">
                  <c:v>46237</c:v>
                </c:pt>
                <c:pt idx="221">
                  <c:v>46238</c:v>
                </c:pt>
                <c:pt idx="222">
                  <c:v>46239</c:v>
                </c:pt>
                <c:pt idx="223">
                  <c:v>46240</c:v>
                </c:pt>
                <c:pt idx="224">
                  <c:v>46241</c:v>
                </c:pt>
                <c:pt idx="225">
                  <c:v>46244</c:v>
                </c:pt>
                <c:pt idx="226">
                  <c:v>46245</c:v>
                </c:pt>
                <c:pt idx="227">
                  <c:v>46246</c:v>
                </c:pt>
                <c:pt idx="228">
                  <c:v>46247</c:v>
                </c:pt>
                <c:pt idx="229">
                  <c:v>46248</c:v>
                </c:pt>
                <c:pt idx="230">
                  <c:v>46251</c:v>
                </c:pt>
                <c:pt idx="231">
                  <c:v>46252</c:v>
                </c:pt>
                <c:pt idx="232">
                  <c:v>46253</c:v>
                </c:pt>
                <c:pt idx="233">
                  <c:v>46254</c:v>
                </c:pt>
                <c:pt idx="234">
                  <c:v>46255</c:v>
                </c:pt>
                <c:pt idx="235">
                  <c:v>46258</c:v>
                </c:pt>
                <c:pt idx="236">
                  <c:v>46259</c:v>
                </c:pt>
                <c:pt idx="237">
                  <c:v>46260</c:v>
                </c:pt>
                <c:pt idx="238">
                  <c:v>46261</c:v>
                </c:pt>
                <c:pt idx="239">
                  <c:v>46262</c:v>
                </c:pt>
                <c:pt idx="240">
                  <c:v>46265</c:v>
                </c:pt>
                <c:pt idx="241">
                  <c:v>46266</c:v>
                </c:pt>
                <c:pt idx="242">
                  <c:v>46267</c:v>
                </c:pt>
                <c:pt idx="243">
                  <c:v>46268</c:v>
                </c:pt>
                <c:pt idx="244">
                  <c:v>46269</c:v>
                </c:pt>
                <c:pt idx="245">
                  <c:v>46272</c:v>
                </c:pt>
                <c:pt idx="246">
                  <c:v>46273</c:v>
                </c:pt>
                <c:pt idx="247">
                  <c:v>46274</c:v>
                </c:pt>
                <c:pt idx="248">
                  <c:v>46275</c:v>
                </c:pt>
                <c:pt idx="249">
                  <c:v>46276</c:v>
                </c:pt>
              </c:numCache>
            </c:numRef>
          </c:cat>
          <c:val>
            <c:numRef>
              <c:f>'EWMA Volatility'!$F$2:$F$251</c:f>
              <c:numCache>
                <c:formatCode>0.00%</c:formatCode>
                <c:ptCount val="250"/>
                <c:pt idx="0">
                  <c:v>0.15811388300841897</c:v>
                </c:pt>
                <c:pt idx="1">
                  <c:v>0.15741903378092736</c:v>
                </c:pt>
                <c:pt idx="2">
                  <c:v>0.15655095226052484</c:v>
                </c:pt>
                <c:pt idx="3">
                  <c:v>0.15436373502880643</c:v>
                </c:pt>
                <c:pt idx="4">
                  <c:v>0.15290689326319795</c:v>
                </c:pt>
                <c:pt idx="5">
                  <c:v>0.15144276513406529</c:v>
                </c:pt>
                <c:pt idx="6">
                  <c:v>0.15066367838868169</c:v>
                </c:pt>
                <c:pt idx="7">
                  <c:v>0.15178002350783804</c:v>
                </c:pt>
                <c:pt idx="8">
                  <c:v>0.14954035869582974</c:v>
                </c:pt>
                <c:pt idx="9">
                  <c:v>0.15136073280583409</c:v>
                </c:pt>
                <c:pt idx="10">
                  <c:v>0.15514078794283687</c:v>
                </c:pt>
                <c:pt idx="11">
                  <c:v>0.15299971098238566</c:v>
                </c:pt>
                <c:pt idx="12">
                  <c:v>0.1669588298310567</c:v>
                </c:pt>
                <c:pt idx="13">
                  <c:v>0.16463046740387946</c:v>
                </c:pt>
                <c:pt idx="14">
                  <c:v>0.16331950512863802</c:v>
                </c:pt>
                <c:pt idx="15">
                  <c:v>0.16596281584248346</c:v>
                </c:pt>
                <c:pt idx="16">
                  <c:v>0.16789866651529381</c:v>
                </c:pt>
                <c:pt idx="17">
                  <c:v>0.17596001974140654</c:v>
                </c:pt>
                <c:pt idx="18">
                  <c:v>0.19838116528127123</c:v>
                </c:pt>
                <c:pt idx="19">
                  <c:v>0.19631613159892744</c:v>
                </c:pt>
                <c:pt idx="20">
                  <c:v>0.19685568898874914</c:v>
                </c:pt>
                <c:pt idx="21">
                  <c:v>0.19390519525330172</c:v>
                </c:pt>
                <c:pt idx="22">
                  <c:v>0.19482568240632747</c:v>
                </c:pt>
                <c:pt idx="23">
                  <c:v>0.19200833397789388</c:v>
                </c:pt>
                <c:pt idx="24">
                  <c:v>0.18932614326652356</c:v>
                </c:pt>
                <c:pt idx="25">
                  <c:v>0.18647483840762782</c:v>
                </c:pt>
                <c:pt idx="26">
                  <c:v>0.18377092007141699</c:v>
                </c:pt>
                <c:pt idx="27">
                  <c:v>0.18110003255397011</c:v>
                </c:pt>
                <c:pt idx="28">
                  <c:v>0.18099831601422789</c:v>
                </c:pt>
                <c:pt idx="29">
                  <c:v>0.17897396753565789</c:v>
                </c:pt>
                <c:pt idx="30">
                  <c:v>0.17643202282411724</c:v>
                </c:pt>
                <c:pt idx="31">
                  <c:v>0.17396025124643355</c:v>
                </c:pt>
                <c:pt idx="32">
                  <c:v>0.18150674112613382</c:v>
                </c:pt>
                <c:pt idx="33">
                  <c:v>0.17876580487331037</c:v>
                </c:pt>
                <c:pt idx="34">
                  <c:v>0.18196711083022435</c:v>
                </c:pt>
                <c:pt idx="35">
                  <c:v>0.17993618596235425</c:v>
                </c:pt>
                <c:pt idx="36">
                  <c:v>0.18213951447596241</c:v>
                </c:pt>
                <c:pt idx="37">
                  <c:v>0.17978053987487044</c:v>
                </c:pt>
                <c:pt idx="38">
                  <c:v>0.1772790261161078</c:v>
                </c:pt>
                <c:pt idx="39">
                  <c:v>0.17486261160437389</c:v>
                </c:pt>
                <c:pt idx="40">
                  <c:v>0.17338492195002364</c:v>
                </c:pt>
                <c:pt idx="41">
                  <c:v>0.17107819723289719</c:v>
                </c:pt>
                <c:pt idx="42">
                  <c:v>0.16929834670779076</c:v>
                </c:pt>
                <c:pt idx="43">
                  <c:v>0.16842925626331842</c:v>
                </c:pt>
                <c:pt idx="44">
                  <c:v>0.167387281803902</c:v>
                </c:pt>
                <c:pt idx="45">
                  <c:v>0.1648627535086524</c:v>
                </c:pt>
                <c:pt idx="46">
                  <c:v>0.16629951493689946</c:v>
                </c:pt>
                <c:pt idx="47">
                  <c:v>0.164210119021062</c:v>
                </c:pt>
                <c:pt idx="48">
                  <c:v>0.16255290622949425</c:v>
                </c:pt>
                <c:pt idx="49">
                  <c:v>0.16022267947810981</c:v>
                </c:pt>
                <c:pt idx="50">
                  <c:v>0.1578031624899815</c:v>
                </c:pt>
                <c:pt idx="51">
                  <c:v>0.15558812223190777</c:v>
                </c:pt>
                <c:pt idx="52">
                  <c:v>0.15374345580567744</c:v>
                </c:pt>
                <c:pt idx="53">
                  <c:v>0.15229144205124634</c:v>
                </c:pt>
                <c:pt idx="54">
                  <c:v>0.14999298849275397</c:v>
                </c:pt>
                <c:pt idx="55">
                  <c:v>0.1540778687825114</c:v>
                </c:pt>
                <c:pt idx="56">
                  <c:v>0.15213626831523352</c:v>
                </c:pt>
                <c:pt idx="57">
                  <c:v>0.14996951320036661</c:v>
                </c:pt>
                <c:pt idx="58">
                  <c:v>0.14771568189257711</c:v>
                </c:pt>
                <c:pt idx="59">
                  <c:v>0.14654744257423044</c:v>
                </c:pt>
                <c:pt idx="60">
                  <c:v>0.1443392161111593</c:v>
                </c:pt>
                <c:pt idx="61">
                  <c:v>0.14356880408013237</c:v>
                </c:pt>
                <c:pt idx="62">
                  <c:v>0.14561216676557695</c:v>
                </c:pt>
                <c:pt idx="63">
                  <c:v>0.14542465525615647</c:v>
                </c:pt>
                <c:pt idx="64">
                  <c:v>0.14325680224652354</c:v>
                </c:pt>
                <c:pt idx="65">
                  <c:v>0.1445206092904765</c:v>
                </c:pt>
                <c:pt idx="66">
                  <c:v>0.16534672838692815</c:v>
                </c:pt>
                <c:pt idx="67">
                  <c:v>0.16691413346700387</c:v>
                </c:pt>
                <c:pt idx="68">
                  <c:v>0.16906326927597715</c:v>
                </c:pt>
                <c:pt idx="69">
                  <c:v>0.16651677331738418</c:v>
                </c:pt>
                <c:pt idx="70">
                  <c:v>0.17448092816858485</c:v>
                </c:pt>
                <c:pt idx="71">
                  <c:v>0.17461407817524474</c:v>
                </c:pt>
                <c:pt idx="72">
                  <c:v>0.17328497831642467</c:v>
                </c:pt>
                <c:pt idx="73">
                  <c:v>0.17087654163977004</c:v>
                </c:pt>
                <c:pt idx="74">
                  <c:v>0.17075908756931144</c:v>
                </c:pt>
                <c:pt idx="75">
                  <c:v>0.17608369890982714</c:v>
                </c:pt>
                <c:pt idx="76">
                  <c:v>0.17342499079542834</c:v>
                </c:pt>
                <c:pt idx="77">
                  <c:v>0.17198908286880688</c:v>
                </c:pt>
                <c:pt idx="78">
                  <c:v>0.16938987247559908</c:v>
                </c:pt>
                <c:pt idx="79">
                  <c:v>0.16790220044433449</c:v>
                </c:pt>
                <c:pt idx="80">
                  <c:v>0.16536535729054014</c:v>
                </c:pt>
                <c:pt idx="81">
                  <c:v>0.17256889975309542</c:v>
                </c:pt>
                <c:pt idx="82">
                  <c:v>0.17201340063211595</c:v>
                </c:pt>
                <c:pt idx="83">
                  <c:v>0.17261830744625797</c:v>
                </c:pt>
                <c:pt idx="84">
                  <c:v>0.17344181125993097</c:v>
                </c:pt>
                <c:pt idx="85">
                  <c:v>0.18189339956800726</c:v>
                </c:pt>
                <c:pt idx="86">
                  <c:v>0.17977057794882703</c:v>
                </c:pt>
                <c:pt idx="87">
                  <c:v>0.19443367695594915</c:v>
                </c:pt>
                <c:pt idx="88">
                  <c:v>0.19153363418689698</c:v>
                </c:pt>
                <c:pt idx="89">
                  <c:v>0.29918868356143891</c:v>
                </c:pt>
                <c:pt idx="90">
                  <c:v>0.29616005598233874</c:v>
                </c:pt>
                <c:pt idx="91">
                  <c:v>0.30675932596121369</c:v>
                </c:pt>
                <c:pt idx="92">
                  <c:v>0.30213608862347702</c:v>
                </c:pt>
                <c:pt idx="93">
                  <c:v>0.30066497344877319</c:v>
                </c:pt>
                <c:pt idx="94">
                  <c:v>0.29837985511374876</c:v>
                </c:pt>
                <c:pt idx="95">
                  <c:v>0.29789422301516927</c:v>
                </c:pt>
                <c:pt idx="96">
                  <c:v>0.29399119763577963</c:v>
                </c:pt>
                <c:pt idx="97">
                  <c:v>0.29080901987342733</c:v>
                </c:pt>
                <c:pt idx="98">
                  <c:v>0.29574426656726899</c:v>
                </c:pt>
                <c:pt idx="99">
                  <c:v>0.29330178896130221</c:v>
                </c:pt>
                <c:pt idx="100">
                  <c:v>0.28886877212920059</c:v>
                </c:pt>
                <c:pt idx="101">
                  <c:v>0.28900160447652851</c:v>
                </c:pt>
                <c:pt idx="102">
                  <c:v>0.28816437215832968</c:v>
                </c:pt>
                <c:pt idx="103">
                  <c:v>0.28385651578429366</c:v>
                </c:pt>
                <c:pt idx="104">
                  <c:v>0.28252434594170817</c:v>
                </c:pt>
                <c:pt idx="105">
                  <c:v>0.28215057031354601</c:v>
                </c:pt>
                <c:pt idx="106">
                  <c:v>0.27797128967067847</c:v>
                </c:pt>
                <c:pt idx="107">
                  <c:v>0.27530471989191102</c:v>
                </c:pt>
                <c:pt idx="108">
                  <c:v>0.27190027827349439</c:v>
                </c:pt>
                <c:pt idx="109">
                  <c:v>0.2690562253154688</c:v>
                </c:pt>
                <c:pt idx="110">
                  <c:v>0.26506711507054409</c:v>
                </c:pt>
                <c:pt idx="111">
                  <c:v>0.27020130341679177</c:v>
                </c:pt>
                <c:pt idx="112">
                  <c:v>0.2661931354017909</c:v>
                </c:pt>
                <c:pt idx="113">
                  <c:v>0.26292401362724577</c:v>
                </c:pt>
                <c:pt idx="114">
                  <c:v>0.25971187350794589</c:v>
                </c:pt>
                <c:pt idx="115">
                  <c:v>0.25600523007207066</c:v>
                </c:pt>
                <c:pt idx="116">
                  <c:v>0.25766241648047344</c:v>
                </c:pt>
                <c:pt idx="117">
                  <c:v>0.2551606209167771</c:v>
                </c:pt>
                <c:pt idx="118">
                  <c:v>0.25256656420427653</c:v>
                </c:pt>
                <c:pt idx="119">
                  <c:v>0.25067252196416562</c:v>
                </c:pt>
                <c:pt idx="120">
                  <c:v>0.24732811172464722</c:v>
                </c:pt>
                <c:pt idx="121">
                  <c:v>0.24361953302368056</c:v>
                </c:pt>
                <c:pt idx="122">
                  <c:v>0.24389757805635523</c:v>
                </c:pt>
                <c:pt idx="123">
                  <c:v>0.26169535094898028</c:v>
                </c:pt>
                <c:pt idx="124">
                  <c:v>0.25859588894889146</c:v>
                </c:pt>
                <c:pt idx="125">
                  <c:v>0.25856496967662917</c:v>
                </c:pt>
                <c:pt idx="126">
                  <c:v>0.25467396192174147</c:v>
                </c:pt>
                <c:pt idx="127">
                  <c:v>0.25821620186000699</c:v>
                </c:pt>
                <c:pt idx="128">
                  <c:v>0.26660440130193724</c:v>
                </c:pt>
                <c:pt idx="129">
                  <c:v>0.26462345888028183</c:v>
                </c:pt>
                <c:pt idx="130">
                  <c:v>0.26077704816469183</c:v>
                </c:pt>
                <c:pt idx="131">
                  <c:v>0.26538150422143836</c:v>
                </c:pt>
                <c:pt idx="132">
                  <c:v>0.26650533891633638</c:v>
                </c:pt>
                <c:pt idx="133">
                  <c:v>0.26651359773687344</c:v>
                </c:pt>
                <c:pt idx="134">
                  <c:v>0.2624869929124321</c:v>
                </c:pt>
                <c:pt idx="135">
                  <c:v>0.2585417011136803</c:v>
                </c:pt>
                <c:pt idx="136">
                  <c:v>0.25463634127062396</c:v>
                </c:pt>
                <c:pt idx="137">
                  <c:v>0.25717249374761481</c:v>
                </c:pt>
                <c:pt idx="138">
                  <c:v>0.25393987871614948</c:v>
                </c:pt>
                <c:pt idx="139">
                  <c:v>0.25020230640500607</c:v>
                </c:pt>
                <c:pt idx="140">
                  <c:v>0.24643151783032138</c:v>
                </c:pt>
                <c:pt idx="141">
                  <c:v>0.24709565757654126</c:v>
                </c:pt>
                <c:pt idx="142">
                  <c:v>0.24336145017687338</c:v>
                </c:pt>
                <c:pt idx="143">
                  <c:v>0.23972245459264993</c:v>
                </c:pt>
                <c:pt idx="144">
                  <c:v>0.23884112241709571</c:v>
                </c:pt>
                <c:pt idx="145">
                  <c:v>0.23629625389709655</c:v>
                </c:pt>
                <c:pt idx="146">
                  <c:v>0.23664556603831619</c:v>
                </c:pt>
                <c:pt idx="147">
                  <c:v>0.23400824482953153</c:v>
                </c:pt>
                <c:pt idx="148">
                  <c:v>0.23123642817389312</c:v>
                </c:pt>
                <c:pt idx="149">
                  <c:v>0.22819992495047009</c:v>
                </c:pt>
                <c:pt idx="150">
                  <c:v>0.22537959918336256</c:v>
                </c:pt>
                <c:pt idx="151">
                  <c:v>0.22454918971214374</c:v>
                </c:pt>
                <c:pt idx="152">
                  <c:v>0.22185899452114999</c:v>
                </c:pt>
                <c:pt idx="153">
                  <c:v>0.22088737703763958</c:v>
                </c:pt>
                <c:pt idx="154">
                  <c:v>0.21795347332155099</c:v>
                </c:pt>
                <c:pt idx="155">
                  <c:v>0.21903805518550182</c:v>
                </c:pt>
                <c:pt idx="156">
                  <c:v>0.21633185427471271</c:v>
                </c:pt>
                <c:pt idx="157">
                  <c:v>0.22152135599698783</c:v>
                </c:pt>
                <c:pt idx="158">
                  <c:v>0.21850438237725325</c:v>
                </c:pt>
                <c:pt idx="159">
                  <c:v>0.21580634021660183</c:v>
                </c:pt>
                <c:pt idx="160">
                  <c:v>0.21314541374427973</c:v>
                </c:pt>
                <c:pt idx="161">
                  <c:v>0.21045420668549328</c:v>
                </c:pt>
                <c:pt idx="162">
                  <c:v>0.20813367181689685</c:v>
                </c:pt>
                <c:pt idx="163">
                  <c:v>0.20534005251765899</c:v>
                </c:pt>
                <c:pt idx="164">
                  <c:v>0.21253857284760586</c:v>
                </c:pt>
                <c:pt idx="165">
                  <c:v>0.20936052701997371</c:v>
                </c:pt>
                <c:pt idx="166">
                  <c:v>0.20743109335209539</c:v>
                </c:pt>
                <c:pt idx="167">
                  <c:v>0.2049674558004059</c:v>
                </c:pt>
                <c:pt idx="168">
                  <c:v>0.20195159768046242</c:v>
                </c:pt>
                <c:pt idx="169">
                  <c:v>0.19896525039048302</c:v>
                </c:pt>
                <c:pt idx="170">
                  <c:v>0.19595919660332908</c:v>
                </c:pt>
                <c:pt idx="171">
                  <c:v>0.19299927796600758</c:v>
                </c:pt>
                <c:pt idx="172">
                  <c:v>0.19126236580808834</c:v>
                </c:pt>
                <c:pt idx="173">
                  <c:v>0.18974615879336937</c:v>
                </c:pt>
                <c:pt idx="174">
                  <c:v>0.1880981734829352</c:v>
                </c:pt>
                <c:pt idx="175">
                  <c:v>0.18702696478859909</c:v>
                </c:pt>
                <c:pt idx="176">
                  <c:v>0.18431908961430327</c:v>
                </c:pt>
                <c:pt idx="177">
                  <c:v>0.18320754091561076</c:v>
                </c:pt>
                <c:pt idx="178">
                  <c:v>0.18088065431346048</c:v>
                </c:pt>
                <c:pt idx="179">
                  <c:v>0.19415411139334229</c:v>
                </c:pt>
                <c:pt idx="180">
                  <c:v>0.19121964395997137</c:v>
                </c:pt>
                <c:pt idx="181">
                  <c:v>0.19224500480189236</c:v>
                </c:pt>
                <c:pt idx="182">
                  <c:v>0.19884324160580422</c:v>
                </c:pt>
                <c:pt idx="183">
                  <c:v>0.19590266221887301</c:v>
                </c:pt>
                <c:pt idx="184">
                  <c:v>0.20215754606413186</c:v>
                </c:pt>
                <c:pt idx="185">
                  <c:v>0.20734530995973469</c:v>
                </c:pt>
                <c:pt idx="186">
                  <c:v>0.20429891798474237</c:v>
                </c:pt>
                <c:pt idx="187">
                  <c:v>0.20130587750613838</c:v>
                </c:pt>
                <c:pt idx="188">
                  <c:v>0.20472409808075756</c:v>
                </c:pt>
                <c:pt idx="189">
                  <c:v>0.20163251890414466</c:v>
                </c:pt>
                <c:pt idx="190">
                  <c:v>0.19936852903576419</c:v>
                </c:pt>
                <c:pt idx="191">
                  <c:v>0.20093974856148003</c:v>
                </c:pt>
                <c:pt idx="192">
                  <c:v>0.20807848415422253</c:v>
                </c:pt>
                <c:pt idx="193">
                  <c:v>0.20557824105616934</c:v>
                </c:pt>
                <c:pt idx="194">
                  <c:v>0.2032208661054839</c:v>
                </c:pt>
                <c:pt idx="195">
                  <c:v>0.20058578940291638</c:v>
                </c:pt>
                <c:pt idx="196">
                  <c:v>0.19798804739247808</c:v>
                </c:pt>
                <c:pt idx="197">
                  <c:v>0.19549402440527</c:v>
                </c:pt>
                <c:pt idx="198">
                  <c:v>0.19290970323125339</c:v>
                </c:pt>
                <c:pt idx="199">
                  <c:v>0.1899947136954023</c:v>
                </c:pt>
                <c:pt idx="200">
                  <c:v>0.18876416239450935</c:v>
                </c:pt>
                <c:pt idx="201">
                  <c:v>0.18627887407023289</c:v>
                </c:pt>
                <c:pt idx="202">
                  <c:v>0.18701577269273165</c:v>
                </c:pt>
                <c:pt idx="203">
                  <c:v>0.18769516258431498</c:v>
                </c:pt>
                <c:pt idx="204">
                  <c:v>0.18506359058871255</c:v>
                </c:pt>
                <c:pt idx="205">
                  <c:v>0.18980769618686638</c:v>
                </c:pt>
                <c:pt idx="206">
                  <c:v>0.18939540385719908</c:v>
                </c:pt>
                <c:pt idx="207">
                  <c:v>0.18682330109205689</c:v>
                </c:pt>
                <c:pt idx="208">
                  <c:v>0.18624236056568963</c:v>
                </c:pt>
                <c:pt idx="209">
                  <c:v>0.18344756081717448</c:v>
                </c:pt>
                <c:pt idx="210">
                  <c:v>0.18067885749203905</c:v>
                </c:pt>
                <c:pt idx="211">
                  <c:v>0.18156572916154826</c:v>
                </c:pt>
                <c:pt idx="212">
                  <c:v>0.18113647759673507</c:v>
                </c:pt>
                <c:pt idx="213">
                  <c:v>0.18526467850644096</c:v>
                </c:pt>
                <c:pt idx="214">
                  <c:v>0.1826114293468705</c:v>
                </c:pt>
                <c:pt idx="215">
                  <c:v>0.17985671570951101</c:v>
                </c:pt>
                <c:pt idx="216">
                  <c:v>0.17826973363847903</c:v>
                </c:pt>
                <c:pt idx="217">
                  <c:v>0.17572739142300847</c:v>
                </c:pt>
                <c:pt idx="218">
                  <c:v>0.17806553985224702</c:v>
                </c:pt>
                <c:pt idx="219">
                  <c:v>0.17645178853088742</c:v>
                </c:pt>
                <c:pt idx="220">
                  <c:v>0.17379499229650874</c:v>
                </c:pt>
                <c:pt idx="221">
                  <c:v>0.17640486034015682</c:v>
                </c:pt>
                <c:pt idx="222">
                  <c:v>0.18293491934671283</c:v>
                </c:pt>
                <c:pt idx="223">
                  <c:v>0.18022067827186666</c:v>
                </c:pt>
                <c:pt idx="224">
                  <c:v>0.18280237334066679</c:v>
                </c:pt>
                <c:pt idx="225">
                  <c:v>0.18047351524155311</c:v>
                </c:pt>
                <c:pt idx="226">
                  <c:v>0.17781182560077538</c:v>
                </c:pt>
                <c:pt idx="227">
                  <c:v>0.17564647657067559</c:v>
                </c:pt>
                <c:pt idx="228">
                  <c:v>0.17342539605728194</c:v>
                </c:pt>
                <c:pt idx="229">
                  <c:v>0.17088428833495592</c:v>
                </c:pt>
                <c:pt idx="230">
                  <c:v>0.16896141691079289</c:v>
                </c:pt>
                <c:pt idx="231">
                  <c:v>0.16898192088850122</c:v>
                </c:pt>
                <c:pt idx="232">
                  <c:v>0.17261739381743488</c:v>
                </c:pt>
                <c:pt idx="233">
                  <c:v>0.17055541452778461</c:v>
                </c:pt>
                <c:pt idx="234">
                  <c:v>0.17296038741543932</c:v>
                </c:pt>
                <c:pt idx="235">
                  <c:v>0.17035133743061395</c:v>
                </c:pt>
                <c:pt idx="236">
                  <c:v>0.16778637261314663</c:v>
                </c:pt>
                <c:pt idx="237">
                  <c:v>0.16581722652111902</c:v>
                </c:pt>
                <c:pt idx="238">
                  <c:v>0.16383968770080226</c:v>
                </c:pt>
                <c:pt idx="239">
                  <c:v>0.16890695498216327</c:v>
                </c:pt>
                <c:pt idx="240">
                  <c:v>0.16749815857151049</c:v>
                </c:pt>
                <c:pt idx="241">
                  <c:v>0.16888858828899445</c:v>
                </c:pt>
                <c:pt idx="242">
                  <c:v>0.16652168573566922</c:v>
                </c:pt>
                <c:pt idx="243">
                  <c:v>0.17208622869422835</c:v>
                </c:pt>
                <c:pt idx="244">
                  <c:v>0.17128168887450562</c:v>
                </c:pt>
                <c:pt idx="245">
                  <c:v>0.16869291088190577</c:v>
                </c:pt>
                <c:pt idx="246">
                  <c:v>0.16677778691866699</c:v>
                </c:pt>
                <c:pt idx="247">
                  <c:v>0.16455339828084875</c:v>
                </c:pt>
                <c:pt idx="248">
                  <c:v>0.1652300917187737</c:v>
                </c:pt>
                <c:pt idx="249">
                  <c:v>0.16407453360768556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69-4DA9-A34D-49C778435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685295"/>
        <c:axId val="79178287"/>
      </c:lineChart>
      <c:dateAx>
        <c:axId val="1416852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78287"/>
        <c:crosses val="autoZero"/>
        <c:auto val="1"/>
        <c:lblOffset val="100"/>
        <c:baseTimeUnit val="days"/>
      </c:dateAx>
      <c:valAx>
        <c:axId val="7917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8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1242060</xdr:colOff>
      <xdr:row>13</xdr:row>
      <xdr:rowOff>95250</xdr:rowOff>
    </xdr:from>
    <xdr:to>
      <xdr:col>17</xdr:col>
      <xdr:colOff>881231</xdr:colOff>
      <xdr:row>32</xdr:row>
      <xdr:rowOff>178398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5B53C1-A5E8-E4D4-6D0C-F9C4F1048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137160</xdr:colOff>
      <xdr:row>0</xdr:row>
      <xdr:rowOff>110490</xdr:rowOff>
    </xdr:from>
    <xdr:to>
      <xdr:col>15</xdr:col>
      <xdr:colOff>434340</xdr:colOff>
      <xdr:row>15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D4A7D0-7610-DF0D-5505-D45DB89B0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9227C5F-04EE-4CF1-9E2D-BFF10D426A66}">
  <we:reference id="wa104100404" version="3.0.0.1" store="en-US" storeType="OMEX"/>
  <we:alternateReferences>
    <we:reference id="wa104100404" version="3.0.0.1" store="wa104100404" storeType="OMEX"/>
  </we:alternateReferences>
  <we:properties>
    <we:property name="UniqueID" value="&quot;20248271727411753453&quot;"/>
    <we:property name="YCM3OTwIXBMmZgwYLA4YC0otMSQ1CRE1Kyw=" value="&quot;&quot;"/>
    <we:property name="YCM3OTwIXBMmZgwYLA4YC0otMSQ1CRE3KD4OATY=" value="&quot;AQ==&quot;"/>
    <we:property name="YCM3OTwIXBMmZgwYLA4YC0otMSQ1CREJJio1DSo4AQ1c" value="&quot;AGJ1fA==&quot;"/>
    <we:property name="YCM3OTwIXBMmZgwYLA4YC0otMSQ1CREJJio1DSo4BRBV" value="&quot;AGJ1fWpXAEs=&quot;"/>
    <we:property name="YCM3OTwIXBMmZgwYLA4YC0otMSQ1CREJJio1DSo4Bg1T" value="&quot;AA==&quot;"/>
    <we:property name="YCM3OTwIXBMmZgwYLA4YC0otMSQ1CREJJio1DSo4BgFc" value="&quot;AQ==&quot;"/>
    <we:property name="YCM3OTwIXBMmZgwYLA4YC0otMSQ1CREJJio1DSo4BhFK" value="&quot;AXx1&quot;"/>
    <we:property name="YCM3OTwIXBMmZgwYLA4YC0otMSQ1CREJJio1DSo4BhZR" value="&quot;AA==&quot;"/>
    <we:property name="YCM3OTwIXBMmZgwYLA4YC0otMSQ1CREJJio1DSo4Bw5I" value="&quot;AA==&quot;"/>
    <we:property name="YCM3OTwIXBMmZgwYLA4YC0otMSQ1CREJJio1DSo4BwBG" value="&quot;AQ==&quot;"/>
    <we:property name="YCM3OTwIXBMmZgwYLA4YC0otMSQ1CREJJio1DSo4BwdD" value="&quot;BQ==&quot;"/>
    <we:property name="YCM3OTwIXBMmZgwYLA4YC0otMSQ1CREJJio1DSo4BxFU" value="&quot;AA==&quot;"/>
    <we:property name="YCM3OTwIXBMmZgwYLA4YC0otMSQ1CREJJio1DSo4EAxX" value="&quot;dx4C&quot;"/>
    <we:property name="YCM3OTwIXBMmZgwYLA4YC0otMSQ1CREJJio1DSo4EgNA" value="&quot;AGJ1fWpXAEs=&quot;"/>
    <we:property name="YCM3OTwIXBMmZgwYLA4YC0otMSQ1CREJJio1DSo4EwdR" value="&quot;AGJ1fWpXAEs=&quot;"/>
    <we:property name="YCM3OTwIXBMmZgwYLA4YC0otMSQ1CREJJio1DSo4FAFT" value="&quot;AGJ1fWs=&quot;"/>
    <we:property name="YCM3OTwIXBMmZgwYLA4YC0otMSQ1CREJJio1DSo4FBBD" value="&quot;AQ==&quot;"/>
    <we:property name="YCM3OTwIXBMmZgwYLA4YC0otMSQ1CREJJio1DSo4FhRX" value="&quot;AGJ1fWpW&quot;"/>
    <we:property name="YCM3OTwIXBMmZgwYLA4YC0otMSQ1CREJJio1DSo4GAdE" value="&quot;Ag==&quot;"/>
    <we:property name="YCM3OTwIXBMmZgwYLA4YC0otMSQ1CREJJio1DSo4GAxZ" value="&quot;A3w=&quot;"/>
    <we:property name="YCM3OTwIXBMmZgwYLA4YC0otMSQ1CREJJio1DSo4GBBE" value="&quot;AGJ1em8=&quot;"/>
    <we:property name="YCM3OTwIXBMmZgwYLA4YC0otMSQ1CREJJio1DSo4GBFc" value="&quot;AA==&quot;"/>
    <we:property name="YCM3OTwIXBMmZgwYLA4YC0otMSQ1CREJJio1DSo4GRJA" value="&quot;AA==&quot;"/>
    <we:property name="YCM3OTwIXBMmZgwYLA4YC0otMSQ1CREJJio1DSo4GRJE" value="&quot;AA==&quot;"/>
    <we:property name="YCM3OTwIXBMmZgwYLA4YC0otMSQ1CREJJio1DSo4GwdX" value="&quot;AQ==&quot;"/>
    <we:property name="YCM3OTwIXBMmZgwYLA4YC0otMSQ1CREJJio1DSo4GxZC" value="&quot;Ag==&quot;"/>
    <we:property name="YCM3OTwIXBMmZgwYLA4YC0otMSQ1CREJJio1DSo4HBJD" value="&quot;AGJ8dA==&quot;"/>
    <we:property name="YCM3OTwIXBMmZgwYLA4YC0otMSQ1CREJJio1DSo4HBJU" value="&quot;Aw==&quot;"/>
    <we:property name="YCM3OTwIXBMmZgwYLA4YC0otMSQ1CREJJio1DSo4HBJZ" value="&quot;AQ==&quot;"/>
    <we:property name="YD4qKXooQA4gKyoSORMcDV5tCi8w" value="&quot;FARhfg==&quot;"/>
    <we:property name="YD4qKXooQA4gKyoSORMcDV5tNiI2EVUIFiMtDw==" value="&quot;fBw=&quot;"/>
    <we:property name="YD4qKXooQA4gKyoSORMcDV5tCCwiKlkU" value="&quot;AQ==&quot;"/>
    <we:property name="YD4qKXooQA4gKyoSORMcDV5tNiI2EVUIFigmDw==" value="&quot;AQ==&quot;"/>
    <we:property name="YD4qKXooQA4gKyoSORMcDV5tNiI2EVUIFjYxDQ==" value="&quot;AGJ1fWpXAEs=&quot;"/>
    <we:property name="YD4qKXooQA4gKyoSORMcDV5tNiI2EVUIFjUgBA==" value="&quot;AQ==&quot;"/>
    <we:property name="YD4qKXooQA4gKyoSORMcDV5tNiI2EVUIFjQvEA==" value="&quot;AA==&quot;"/>
    <we:property name="YD4qKXooQA4gKyoSORMcDV5tNiI2EVUIFjIsBA==" value="&quot;AGJ1fA==&quot;"/>
    <we:property name="YD4qKXooQA4gKyoSORMcDV5tNiI2EVUIFiU1Dw==" value="&quot;AGJ1fWpW&quot;"/>
    <we:property name="YD4qKXooQA4gKyoSORMcDV5tNiI2EVUIFiswBA==" value="&quot;AA==&quot;"/>
    <we:property name="YD4qKXooQA4gKyoSORMcDV5tNiI2EVUIFjUwEg==" value="&quot;AXx1&quot;"/>
    <we:property name="YD4qKXooQA4gKyoSORMcDV5tNiI2EVUIFjQwDA==" value="&quot;AA==&quot;"/>
    <we:property name="YD4qKXooQA4gKyoSORMcDV5tNiI2EVUIFisxHA==" value="&quot;AGJ1em8=&quot;"/>
    <we:property name="YD4qKXooQA4gKyoSORMcDV5tNiI2EVUIFistAQ==" value="&quot;A3w=&quot;"/>
    <we:property name="YD4qKXooQA4gKyoSORMcDV5tNiI2EVUIFjQhHg==" value="&quot;AQ==&quot;"/>
    <we:property name="YD4qKXooQA4gKyoSORMcDV5tNiI2EVUIFig3Gg==" value="&quot;Ag==&quot;"/>
    <we:property name="YD4qKXooQA4gKyoSORMcDV5tNiI2EVUIFicgCw==" value="&quot;AGJ1fWs=&quot;"/>
    <we:property name="YD4qKXooQA4gKyoSORMcDV5tNiI2EVUIFjQmGw==" value="&quot;BQ==&quot;"/>
    <we:property name="YD4qKXooQA4gKyoSORMcDV5tNiI2EVUIFicxGw==" value="&quot;AQ==&quot;"/>
    <we:property name="YD4qKXooQA4gKyoSORMcDV5tNiI2EVUIFjU3CQ==" value="&quot;AA==&quot;"/>
    <we:property name="YD4qKXooQA4gKyoSORMcDV5tNiI2EVUIFismHA==" value="&quot;Ag==&quot;"/>
    <we:property name="YD4qKXooQA4gKyoSORMcDV5tNiI2EVUIFjUsCw==" value="&quot;AA==&quot;"/>
    <we:property name="YD4qKXooQA4gKyoSORMcDV5tNiI2EVUIFiozHA==" value="&quot;AA==&quot;"/>
    <we:property name="YD4qKXooQA4gKyoSORMcDV5tNiI2EVUIFiozGA==" value="&quot;AA==&quot;"/>
    <we:property name="YD4qKXooQA4gKyoSORMcDV5tNiI2EVUIFiEiGA==" value="&quot;AGJ1fWpXAEs=&quot;"/>
    <we:property name="YD4qKXooQA4gKyoSORMcDV5tNiI2EVUIFi8zGw==" value="&quot;AGJ8dA==&quot;"/>
    <we:property name="YD4qKXooQA4gKyoSORMcDV5tNiI2EVUIFiAmCQ==" value="&quot;AGJ1fWpXAEs=&quot;"/>
    <we:property name="YD4qKXooQA4gKyoSORMcDV5tNiI2EVUIFi8zAQ==" value="&quot;AQ==&quot;"/>
    <we:property name="YD4qKXooQA4gKyoSORMcDV5tNiI2EVUIFi8zDA==" value="&quot;Aw==&quot;"/>
    <we:property name="YD4qKXooQA4gKyoSORMcDV5tEywoDlEYJSMw" value="&quot;FA9heWBDdV59&quot;"/>
    <we:property name="YD4qKXooQA4gKyoSORMcDV5tNiI2EVUIFig2BQ==" value="&quot;Aw==&quot;"/>
    <we:property name="YD4qKXooQA4gKyoSORMcDV5tNiI2EVUIFiorG2k=" value="&quot;FApheg==&quot;"/>
    <we:property name="YD4qKXooQA4gKyoSORMcDV5tNiI2EVUIFjQmBGk=" value="&quot;EHB4bQ==&quot;"/>
    <we:property name="YD4qKXooQA4gKyoSORMcDV5tNiI2EVUIFjQrG2k=" value="&quot;FARheg==&quot;"/>
    <we:property name="YD4qKXooQA4gKyoSORMcDV5tNiI2EVUIFiorG2o=" value="&quot;FAphdQ==&quot;"/>
    <we:property name="YD4qKXooQA4gKyoSORMcDV5tNiI2EVUIFjQmBGo=" value="&quot;EHB4bQ==&quot;"/>
    <we:property name="YD4qKXooQA4gKyoSORMcDV5tNiI2EVUIFjQrG2o=" value="&quot;FARhdQ==&quot;"/>
    <we:property name="YD4qKXooQA4gKyoSORMcDV5tNiI2EVUIFiorG2s=" value="&quot;FAphdA==&quot;"/>
    <we:property name="YD4qKXooQA4gKyoSORMcDV5tNiI2EVUIFjQmBGs=" value="&quot;EHB4bQ==&quot;"/>
    <we:property name="YD4qKXooQA4gKyoSORMcDV5tNiI2EVUIFjQrG2s=" value="&quot;FARhdA==&quot;"/>
    <we:property name="YD4qKXooQA4gKyoSORMcDV5tNiI2EVUIFiorG2w=" value="&quot;&quot;"/>
    <we:property name="YD4qKXooQA4gKyoSORMcDV5tNiI2EVUIFjQmBGw=" value="&quot;EHB4bQ==&quot;"/>
    <we:property name="YD4qKXooQA4gKyoSORMcDV5tNiI2EVUIFjQrG2w=" value="&quot;&quot;"/>
  </we:properties>
  <we:bindings>
    <we:binding id="refEdit" type="matrix" appref="{90C77727-DACA-4B27-921E-FDA722936B2B}"/>
    <we:binding id="Worker" type="matrix" appref="{AE707888-8AE2-41D7-BCD4-6C70CE853009}"/>
    <we:binding id="Obj" type="matrix" appref="{AF4663A0-8C1C-42FD-8290-8C9AB846C49B}"/>
    <we:binding id="Var$C$4:$E$4" type="matrix" appref="{276EF315-4162-4526-8C36-BA05349350D6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A54C-F3D3-436B-80F6-86D849A8A07B}">
  <dimension ref="A1:R251"/>
  <sheetViews>
    <sheetView tabSelected="1" zoomScaleNormal="100" workbookViewId="0"/>
  </sheetViews>
  <sheetFormatPr defaultRowHeight="14.4" x14ac:dyDescent="0.3"/>
  <cols>
    <col min="1" max="1" width="10.5546875" style="2" bestFit="1" customWidth="1"/>
    <col min="2" max="2" width="9.33203125" style="2" bestFit="1" customWidth="1"/>
    <col min="3" max="4" width="10.33203125" style="2" bestFit="1" customWidth="1"/>
    <col min="5" max="7" width="9.33203125" style="2" bestFit="1" customWidth="1"/>
    <col min="8" max="8" width="15.21875" style="39" bestFit="1" customWidth="1"/>
    <col min="9" max="9" width="16.88671875" style="2" customWidth="1"/>
    <col min="10" max="10" width="12.33203125" style="2" bestFit="1" customWidth="1"/>
    <col min="11" max="11" width="18.109375" style="2" bestFit="1" customWidth="1"/>
    <col min="12" max="12" width="12.33203125" style="2" bestFit="1" customWidth="1"/>
    <col min="13" max="13" width="18.5546875" style="2" bestFit="1" customWidth="1"/>
    <col min="14" max="14" width="11.6640625" style="2" bestFit="1" customWidth="1"/>
    <col min="15" max="15" width="12" style="2" bestFit="1" customWidth="1"/>
    <col min="16" max="16" width="11.6640625" style="2" bestFit="1" customWidth="1"/>
    <col min="17" max="17" width="12.33203125" style="2" bestFit="1" customWidth="1"/>
    <col min="18" max="18" width="13.21875" style="2" bestFit="1" customWidth="1"/>
    <col min="19" max="16384" width="8.88671875" style="2"/>
  </cols>
  <sheetData>
    <row r="1" spans="1:18" x14ac:dyDescent="0.3">
      <c r="A1" s="28" t="s">
        <v>34</v>
      </c>
      <c r="B1" s="28" t="s">
        <v>0</v>
      </c>
      <c r="C1" s="28" t="s">
        <v>35</v>
      </c>
      <c r="D1" s="28" t="s">
        <v>36</v>
      </c>
      <c r="E1" s="28" t="s">
        <v>3</v>
      </c>
      <c r="F1" s="28" t="s">
        <v>37</v>
      </c>
      <c r="G1" s="28" t="s">
        <v>4</v>
      </c>
      <c r="H1" s="42" t="s">
        <v>39</v>
      </c>
      <c r="I1" s="9" t="s">
        <v>46</v>
      </c>
      <c r="J1" s="68" t="s">
        <v>38</v>
      </c>
      <c r="K1" s="69" t="s">
        <v>45</v>
      </c>
      <c r="M1" s="28" t="s">
        <v>48</v>
      </c>
    </row>
    <row r="2" spans="1:18" x14ac:dyDescent="0.3">
      <c r="A2" s="38">
        <v>45925</v>
      </c>
      <c r="B2" s="43">
        <v>-5.9080000000000001E-3</v>
      </c>
      <c r="C2" s="43">
        <v>1.2859999999999998E-3</v>
      </c>
      <c r="D2" s="43">
        <v>2.1016E-2</v>
      </c>
      <c r="E2" s="43">
        <v>7.7090000000000006E-3</v>
      </c>
      <c r="F2" s="43">
        <v>-5.0090000000000004E-3</v>
      </c>
      <c r="G2" s="43">
        <v>-4.3369999999999997E-3</v>
      </c>
      <c r="H2" s="44">
        <f t="shared" ref="H2:H65" si="0">$J$2*B2+C2*$J$3+$J$4*D2+E2*$J$5+$J$6*F2+G2*$J$7</f>
        <v>9.7216000000000012E-4</v>
      </c>
      <c r="I2" s="9" t="s">
        <v>0</v>
      </c>
      <c r="J2" s="70">
        <v>0.15</v>
      </c>
      <c r="K2" s="71">
        <v>825000</v>
      </c>
      <c r="M2" s="45">
        <f t="shared" ref="M2:M65" ca="1" si="1">NORMINV(RAND(), $J$20, $J$21)</f>
        <v>-5.2785823863634816E-3</v>
      </c>
      <c r="N2" s="81" t="s">
        <v>60</v>
      </c>
      <c r="O2" s="81"/>
    </row>
    <row r="3" spans="1:18" x14ac:dyDescent="0.3">
      <c r="A3" s="38">
        <v>45926</v>
      </c>
      <c r="B3" s="43">
        <v>-6.9740000000000002E-3</v>
      </c>
      <c r="C3" s="43">
        <v>1.0276E-2</v>
      </c>
      <c r="D3" s="43">
        <v>3.4096000000000001E-2</v>
      </c>
      <c r="E3" s="43">
        <v>7.4619999999999999E-3</v>
      </c>
      <c r="F3" s="43">
        <v>5.9019999999999993E-3</v>
      </c>
      <c r="G3" s="43">
        <v>4.3669999999999994E-3</v>
      </c>
      <c r="H3" s="44">
        <f t="shared" si="0"/>
        <v>8.4123100000000027E-3</v>
      </c>
      <c r="I3" s="9" t="s">
        <v>35</v>
      </c>
      <c r="J3" s="70">
        <v>0.51</v>
      </c>
      <c r="K3" s="71">
        <v>2805000</v>
      </c>
      <c r="M3" s="45">
        <f t="shared" ca="1" si="1"/>
        <v>-3.3859605787450618E-3</v>
      </c>
      <c r="N3" s="9" t="s">
        <v>51</v>
      </c>
      <c r="O3" s="9" t="s">
        <v>40</v>
      </c>
      <c r="P3" s="9" t="s">
        <v>42</v>
      </c>
      <c r="Q3" s="9" t="s">
        <v>41</v>
      </c>
      <c r="R3" s="9" t="s">
        <v>43</v>
      </c>
    </row>
    <row r="4" spans="1:18" x14ac:dyDescent="0.3">
      <c r="A4" s="38">
        <v>45929</v>
      </c>
      <c r="B4" s="43">
        <v>3.8990000000000001E-3</v>
      </c>
      <c r="C4" s="43">
        <v>1.2078E-2</v>
      </c>
      <c r="D4" s="43">
        <v>8.4589999999999995E-3</v>
      </c>
      <c r="E4" s="43">
        <v>-3.0430000000000001E-3</v>
      </c>
      <c r="F4" s="43">
        <v>2.6359999999999999E-3</v>
      </c>
      <c r="G4" s="43">
        <v>4.3869999999999994E-3</v>
      </c>
      <c r="H4" s="44">
        <f t="shared" si="0"/>
        <v>7.9235599999999996E-3</v>
      </c>
      <c r="I4" s="9" t="s">
        <v>36</v>
      </c>
      <c r="J4" s="70">
        <v>0.08</v>
      </c>
      <c r="K4" s="71">
        <v>440000</v>
      </c>
      <c r="M4" s="45">
        <f t="shared" ca="1" si="1"/>
        <v>8.3465568920505894E-3</v>
      </c>
      <c r="N4" s="9" t="s">
        <v>52</v>
      </c>
      <c r="O4" s="46">
        <f>K12</f>
        <v>-102267.08249999997</v>
      </c>
      <c r="P4" s="46">
        <f>K15</f>
        <v>-171748.005</v>
      </c>
      <c r="Q4" s="46">
        <f>K13</f>
        <v>-181693.37339999998</v>
      </c>
      <c r="R4" s="46">
        <f>K16</f>
        <v>-289611.66666666663</v>
      </c>
    </row>
    <row r="5" spans="1:18" x14ac:dyDescent="0.3">
      <c r="A5" s="38">
        <v>45930</v>
      </c>
      <c r="B5" s="43">
        <v>1.983E-3</v>
      </c>
      <c r="C5" s="43">
        <v>5.2080000000000008E-3</v>
      </c>
      <c r="D5" s="43">
        <v>-7.7019999999999996E-3</v>
      </c>
      <c r="E5" s="43">
        <v>-5.4210000000000005E-3</v>
      </c>
      <c r="F5" s="43">
        <v>4.091E-3</v>
      </c>
      <c r="G5" s="43">
        <v>2.7889999999999998E-3</v>
      </c>
      <c r="H5" s="44">
        <f t="shared" si="0"/>
        <v>2.7131299999999998E-3</v>
      </c>
      <c r="I5" s="9" t="s">
        <v>3</v>
      </c>
      <c r="J5" s="70">
        <v>0.06</v>
      </c>
      <c r="K5" s="71">
        <v>330000</v>
      </c>
      <c r="M5" s="45">
        <f t="shared" ca="1" si="1"/>
        <v>-1.2551512372466964E-2</v>
      </c>
      <c r="N5" s="9" t="s">
        <v>32</v>
      </c>
      <c r="O5" s="46">
        <f>K23</f>
        <v>-113242.40416697413</v>
      </c>
      <c r="P5" s="46">
        <f>K26</f>
        <v>-143079.78313123272</v>
      </c>
      <c r="Q5" s="46">
        <f>K24</f>
        <v>-161904.7360207662</v>
      </c>
      <c r="R5" s="46">
        <f>K27</f>
        <v>-186101.60439992329</v>
      </c>
    </row>
    <row r="6" spans="1:18" x14ac:dyDescent="0.3">
      <c r="A6" s="38">
        <v>45931</v>
      </c>
      <c r="B6" s="43">
        <v>3.7600000000000003E-4</v>
      </c>
      <c r="C6" s="43">
        <v>6.9520000000000007E-3</v>
      </c>
      <c r="D6" s="43">
        <v>2.2419999999999999E-2</v>
      </c>
      <c r="E6" s="43">
        <v>-4.0239999999999998E-3</v>
      </c>
      <c r="F6" s="43">
        <v>3.4000000000000002E-3</v>
      </c>
      <c r="G6" s="43">
        <v>4.8970000000000003E-3</v>
      </c>
      <c r="H6" s="44">
        <f t="shared" si="0"/>
        <v>5.9688100000000006E-3</v>
      </c>
      <c r="I6" s="9" t="s">
        <v>37</v>
      </c>
      <c r="J6" s="70">
        <v>0.11</v>
      </c>
      <c r="K6" s="71">
        <v>605000</v>
      </c>
      <c r="M6" s="45">
        <f t="shared" ca="1" si="1"/>
        <v>-2.3231111979045534E-2</v>
      </c>
      <c r="N6" s="9" t="s">
        <v>53</v>
      </c>
      <c r="O6" s="46">
        <f ca="1">K31</f>
        <v>-116006.89464971561</v>
      </c>
      <c r="P6" s="46">
        <f ca="1">K34</f>
        <v>-133717.73860033634</v>
      </c>
      <c r="Q6" s="46">
        <f ca="1">K32</f>
        <v>-141226.10992073122</v>
      </c>
      <c r="R6" s="46">
        <f ca="1">K35</f>
        <v>-153962.91245171407</v>
      </c>
    </row>
    <row r="7" spans="1:18" x14ac:dyDescent="0.3">
      <c r="A7" s="38">
        <v>45932</v>
      </c>
      <c r="B7" s="43">
        <v>-1.5300000000000001E-4</v>
      </c>
      <c r="C7" s="43">
        <v>-7.1879999999999999E-3</v>
      </c>
      <c r="D7" s="43">
        <v>-2.7279000000000001E-2</v>
      </c>
      <c r="E7" s="43">
        <v>-6.1760000000000001E-3</v>
      </c>
      <c r="F7" s="43">
        <v>6.1800000000000006E-4</v>
      </c>
      <c r="G7" s="43">
        <v>3.7059999999999997E-3</v>
      </c>
      <c r="H7" s="44">
        <f t="shared" si="0"/>
        <v>-5.8401900000000003E-3</v>
      </c>
      <c r="I7" s="9" t="s">
        <v>4</v>
      </c>
      <c r="J7" s="70">
        <v>0.09</v>
      </c>
      <c r="K7" s="71">
        <v>495000</v>
      </c>
      <c r="M7" s="45">
        <f t="shared" ca="1" si="1"/>
        <v>1.8946761560617441E-2</v>
      </c>
    </row>
    <row r="8" spans="1:18" x14ac:dyDescent="0.3">
      <c r="A8" s="38">
        <v>45933</v>
      </c>
      <c r="B8" s="43">
        <v>-7.6200000000000009E-4</v>
      </c>
      <c r="C8" s="43">
        <v>1.0704E-2</v>
      </c>
      <c r="D8" s="43">
        <v>3.4716999999999998E-2</v>
      </c>
      <c r="E8" s="43">
        <v>4.5600000000000003E-4</v>
      </c>
      <c r="F8" s="43">
        <v>6.6000000000000005E-5</v>
      </c>
      <c r="G8" s="43">
        <v>-4.3080000000000002E-3</v>
      </c>
      <c r="H8" s="44">
        <f t="shared" si="0"/>
        <v>7.7690000000000007E-3</v>
      </c>
      <c r="I8" s="9" t="s">
        <v>8</v>
      </c>
      <c r="J8" s="70">
        <f>SUM(J2:J7)</f>
        <v>1</v>
      </c>
      <c r="K8" s="71">
        <v>5500000</v>
      </c>
      <c r="M8" s="45">
        <f t="shared" ca="1" si="1"/>
        <v>2.0654471868789489E-2</v>
      </c>
      <c r="N8" s="81" t="s">
        <v>59</v>
      </c>
      <c r="O8" s="81"/>
    </row>
    <row r="9" spans="1:18" x14ac:dyDescent="0.3">
      <c r="A9" s="38">
        <v>45936</v>
      </c>
      <c r="B9" s="43">
        <v>-1.078E-3</v>
      </c>
      <c r="C9" s="43">
        <v>1.7444999999999999E-2</v>
      </c>
      <c r="D9" s="43">
        <v>1.0189999999999999E-2</v>
      </c>
      <c r="E9" s="43">
        <v>1.6691000000000001E-2</v>
      </c>
      <c r="F9" s="43">
        <v>3.6470000000000001E-3</v>
      </c>
      <c r="G9" s="43">
        <v>7.7880000000000007E-3</v>
      </c>
      <c r="H9" s="44">
        <f t="shared" si="0"/>
        <v>1.1653999999999998E-2</v>
      </c>
      <c r="M9" s="45">
        <f t="shared" ca="1" si="1"/>
        <v>7.0896693724917014E-3</v>
      </c>
      <c r="N9" s="9" t="s">
        <v>58</v>
      </c>
      <c r="O9" s="9" t="s">
        <v>40</v>
      </c>
      <c r="P9" s="9" t="s">
        <v>42</v>
      </c>
      <c r="Q9" s="9" t="s">
        <v>41</v>
      </c>
      <c r="R9" s="9" t="s">
        <v>43</v>
      </c>
    </row>
    <row r="10" spans="1:18" x14ac:dyDescent="0.3">
      <c r="A10" s="38">
        <v>45937</v>
      </c>
      <c r="B10" s="43">
        <v>-1.8700000000000002E-4</v>
      </c>
      <c r="C10" s="43">
        <v>7.1170000000000001E-3</v>
      </c>
      <c r="D10" s="43">
        <v>-1.8779999999999998E-2</v>
      </c>
      <c r="E10" s="43">
        <v>4.8459999999999996E-3</v>
      </c>
      <c r="F10" s="43">
        <v>-3.8110000000000002E-3</v>
      </c>
      <c r="G10" s="43">
        <v>-5.5379999999999995E-3</v>
      </c>
      <c r="H10" s="44">
        <f t="shared" si="0"/>
        <v>1.4723500000000007E-3</v>
      </c>
      <c r="I10" s="78" t="s">
        <v>50</v>
      </c>
      <c r="J10" s="79"/>
      <c r="K10" s="80"/>
      <c r="M10" s="45">
        <f t="shared" ca="1" si="1"/>
        <v>7.4792677824652909E-3</v>
      </c>
      <c r="N10" s="9" t="s">
        <v>54</v>
      </c>
      <c r="O10" s="46">
        <f>O4</f>
        <v>-102267.08249999997</v>
      </c>
      <c r="P10" s="46">
        <f>P4</f>
        <v>-171748.005</v>
      </c>
      <c r="Q10" s="46">
        <f>Q4</f>
        <v>-181693.37339999998</v>
      </c>
      <c r="R10" s="46">
        <f>R4</f>
        <v>-289611.66666666663</v>
      </c>
    </row>
    <row r="11" spans="1:18" x14ac:dyDescent="0.3">
      <c r="A11" s="38">
        <v>45938</v>
      </c>
      <c r="B11" s="43">
        <v>-4.7549999999999997E-3</v>
      </c>
      <c r="C11" s="43">
        <v>1.6773E-2</v>
      </c>
      <c r="D11" s="43">
        <v>3.1306E-2</v>
      </c>
      <c r="E11" s="43">
        <v>1.1441E-2</v>
      </c>
      <c r="F11" s="43">
        <v>5.8279999999999998E-3</v>
      </c>
      <c r="G11" s="43">
        <v>1.1932E-2</v>
      </c>
      <c r="H11" s="44">
        <f t="shared" si="0"/>
        <v>1.2746879999999999E-2</v>
      </c>
      <c r="I11" s="53"/>
      <c r="J11" s="57"/>
      <c r="K11" s="58" t="s">
        <v>63</v>
      </c>
      <c r="M11" s="45">
        <f t="shared" ca="1" si="1"/>
        <v>9.4275778961908085E-3</v>
      </c>
      <c r="N11" s="9" t="s">
        <v>55</v>
      </c>
      <c r="O11" s="46">
        <f>O10*SQRT(5)</f>
        <v>-228676.1483305791</v>
      </c>
      <c r="P11" s="46">
        <f t="shared" ref="P11:R11" si="2">P10*SQRT(5)</f>
        <v>-384040.21417997382</v>
      </c>
      <c r="Q11" s="46">
        <f t="shared" si="2"/>
        <v>-406278.73398365208</v>
      </c>
      <c r="R11" s="46">
        <f t="shared" si="2"/>
        <v>-647591.37374367658</v>
      </c>
    </row>
    <row r="12" spans="1:18" x14ac:dyDescent="0.3">
      <c r="A12" s="38">
        <v>45939</v>
      </c>
      <c r="B12" s="43">
        <v>-1.9420000000000001E-3</v>
      </c>
      <c r="C12" s="43">
        <v>-2.3990000000000001E-2</v>
      </c>
      <c r="D12" s="43">
        <v>-3.7118000000000005E-2</v>
      </c>
      <c r="E12" s="43">
        <v>4.1370000000000001E-3</v>
      </c>
      <c r="F12" s="43">
        <v>-2.7560000000000002E-3</v>
      </c>
      <c r="G12" s="43">
        <v>-1.529E-3</v>
      </c>
      <c r="H12" s="44">
        <f t="shared" si="0"/>
        <v>-1.5688190000000001E-2</v>
      </c>
      <c r="I12" s="47" t="s">
        <v>40</v>
      </c>
      <c r="J12" s="48">
        <f>_xlfn.PERCENTILE.INC(H2:H251, 0.05)</f>
        <v>-1.8594014999999995E-2</v>
      </c>
      <c r="K12" s="49">
        <f>$K$8*J12</f>
        <v>-102267.08249999997</v>
      </c>
      <c r="M12" s="45">
        <f t="shared" ca="1" si="1"/>
        <v>1.8329000862965197E-2</v>
      </c>
      <c r="N12" s="9" t="s">
        <v>56</v>
      </c>
      <c r="O12" s="46">
        <f>O10*SQRT(14)</f>
        <v>-382648.38465994498</v>
      </c>
      <c r="P12" s="46">
        <f t="shared" ref="P12:R12" si="3">P10*SQRT(14)</f>
        <v>-642622.19157193787</v>
      </c>
      <c r="Q12" s="46">
        <f t="shared" si="3"/>
        <v>-679834.35270998592</v>
      </c>
      <c r="R12" s="46">
        <f t="shared" si="3"/>
        <v>-1083627.6318792456</v>
      </c>
    </row>
    <row r="13" spans="1:18" x14ac:dyDescent="0.3">
      <c r="A13" s="38">
        <v>45940</v>
      </c>
      <c r="B13" s="43">
        <v>-5.633E-3</v>
      </c>
      <c r="C13" s="43">
        <v>7.5009999999999999E-3</v>
      </c>
      <c r="D13" s="43">
        <v>1.8779999999999999E-3</v>
      </c>
      <c r="E13" s="43">
        <v>1.867E-3</v>
      </c>
      <c r="F13" s="43">
        <v>-2.7111999999999997E-2</v>
      </c>
      <c r="G13" s="43">
        <v>-3.492E-2</v>
      </c>
      <c r="H13" s="44">
        <f t="shared" si="0"/>
        <v>-2.8823E-3</v>
      </c>
      <c r="I13" s="47" t="s">
        <v>41</v>
      </c>
      <c r="J13" s="48">
        <f>_xlfn.PERCENTILE.INC(H2:H251, 0.01)</f>
        <v>-3.3035158799999999E-2</v>
      </c>
      <c r="K13" s="49">
        <f>$K$8*J13</f>
        <v>-181693.37339999998</v>
      </c>
      <c r="M13" s="45">
        <f t="shared" ca="1" si="1"/>
        <v>1.9369428317695364E-2</v>
      </c>
      <c r="N13" s="9" t="s">
        <v>57</v>
      </c>
      <c r="O13" s="46">
        <f>O10*SQRT(22)</f>
        <v>-479675.13546916278</v>
      </c>
      <c r="P13" s="46">
        <f t="shared" ref="P13:R13" si="4">P10*SQRT(22)</f>
        <v>-805569.5493702332</v>
      </c>
      <c r="Q13" s="46">
        <f t="shared" si="4"/>
        <v>-852217.46205084305</v>
      </c>
      <c r="R13" s="46">
        <f t="shared" si="4"/>
        <v>-1358399.125562063</v>
      </c>
    </row>
    <row r="14" spans="1:18" x14ac:dyDescent="0.3">
      <c r="A14" s="38">
        <v>45943</v>
      </c>
      <c r="B14" s="43">
        <v>3.1090000000000002E-3</v>
      </c>
      <c r="C14" s="43">
        <v>3.3376000000000003E-2</v>
      </c>
      <c r="D14" s="43">
        <v>6.800500000000001E-2</v>
      </c>
      <c r="E14" s="43">
        <v>-5.9430000000000004E-3</v>
      </c>
      <c r="F14" s="43">
        <v>1.5599E-2</v>
      </c>
      <c r="G14" s="43">
        <v>2.1819999999999999E-2</v>
      </c>
      <c r="H14" s="44">
        <f t="shared" si="0"/>
        <v>2.6251620000000003E-2</v>
      </c>
      <c r="I14" s="47"/>
      <c r="J14" s="48"/>
      <c r="K14" s="49"/>
      <c r="M14" s="45">
        <f t="shared" ca="1" si="1"/>
        <v>-1.4613084355136538E-2</v>
      </c>
    </row>
    <row r="15" spans="1:18" x14ac:dyDescent="0.3">
      <c r="A15" s="38">
        <v>45944</v>
      </c>
      <c r="B15" s="43">
        <v>-3.065E-3</v>
      </c>
      <c r="C15" s="43">
        <v>7.326E-3</v>
      </c>
      <c r="D15" s="43">
        <v>3.6700000000000001E-3</v>
      </c>
      <c r="E15" s="43">
        <v>2.4859999999999999E-3</v>
      </c>
      <c r="F15" s="43">
        <v>-1.5640000000000001E-3</v>
      </c>
      <c r="G15" s="43">
        <v>-6.9059999999999998E-3</v>
      </c>
      <c r="H15" s="44">
        <f t="shared" si="0"/>
        <v>2.9256900000000003E-3</v>
      </c>
      <c r="I15" s="47" t="s">
        <v>42</v>
      </c>
      <c r="J15" s="48">
        <f>AVERAGEIF(H2:H251, "&lt;"&amp;J12)</f>
        <v>-3.122691E-2</v>
      </c>
      <c r="K15" s="49">
        <f>$K$8*J15</f>
        <v>-171748.005</v>
      </c>
      <c r="M15" s="45">
        <f t="shared" ca="1" si="1"/>
        <v>-2.1452137624573545E-2</v>
      </c>
    </row>
    <row r="16" spans="1:18" x14ac:dyDescent="0.3">
      <c r="A16" s="38">
        <v>45945</v>
      </c>
      <c r="B16" s="43">
        <v>3.0630000000000002E-3</v>
      </c>
      <c r="C16" s="43">
        <v>9.2300000000000004E-3</v>
      </c>
      <c r="D16" s="43">
        <v>1.5084999999999999E-2</v>
      </c>
      <c r="E16" s="43">
        <v>-4.6119999999999998E-3</v>
      </c>
      <c r="F16" s="43">
        <v>4.0260000000000001E-3</v>
      </c>
      <c r="G16" s="43">
        <v>6.7549999999999997E-3</v>
      </c>
      <c r="H16" s="44">
        <f t="shared" si="0"/>
        <v>7.1476400000000002E-3</v>
      </c>
      <c r="I16" s="50" t="s">
        <v>43</v>
      </c>
      <c r="J16" s="51">
        <f>AVERAGEIF(H2:H251, "&lt;"&amp;J13)</f>
        <v>-5.2656666666666664E-2</v>
      </c>
      <c r="K16" s="52">
        <f>$K$8*J16</f>
        <v>-289611.66666666663</v>
      </c>
      <c r="M16" s="45">
        <f t="shared" ca="1" si="1"/>
        <v>8.8591084978501908E-3</v>
      </c>
    </row>
    <row r="17" spans="1:13" x14ac:dyDescent="0.3">
      <c r="A17" s="38">
        <v>45946</v>
      </c>
      <c r="B17" s="43">
        <v>3.797E-3</v>
      </c>
      <c r="C17" s="43">
        <v>2.4731E-2</v>
      </c>
      <c r="D17" s="43">
        <v>3.8181E-2</v>
      </c>
      <c r="E17" s="43">
        <v>-4.9890000000000004E-3</v>
      </c>
      <c r="F17" s="43">
        <v>-6.2939999999999992E-3</v>
      </c>
      <c r="G17" s="43">
        <v>-3.5610000000000004E-3</v>
      </c>
      <c r="H17" s="45">
        <f t="shared" si="0"/>
        <v>1.4924670000000004E-2</v>
      </c>
      <c r="M17" s="45">
        <f t="shared" ca="1" si="1"/>
        <v>-1.0142360839515819E-2</v>
      </c>
    </row>
    <row r="18" spans="1:13" x14ac:dyDescent="0.3">
      <c r="A18" s="38">
        <v>45947</v>
      </c>
      <c r="B18" s="43">
        <v>4.5750000000000001E-3</v>
      </c>
      <c r="C18" s="43">
        <v>-2.1097000000000001E-2</v>
      </c>
      <c r="D18" s="43">
        <v>-5.9577999999999999E-2</v>
      </c>
      <c r="E18" s="43">
        <v>-5.6569999999999997E-3</v>
      </c>
      <c r="F18" s="43">
        <v>5.2710000000000005E-3</v>
      </c>
      <c r="G18" s="43">
        <v>6.5180000000000004E-3</v>
      </c>
      <c r="H18" s="45">
        <f t="shared" si="0"/>
        <v>-1.4012450000000001E-2</v>
      </c>
      <c r="I18" s="78" t="s">
        <v>47</v>
      </c>
      <c r="J18" s="79"/>
      <c r="K18" s="80"/>
      <c r="M18" s="45">
        <f t="shared" ca="1" si="1"/>
        <v>-1.1668996921772777E-2</v>
      </c>
    </row>
    <row r="19" spans="1:13" x14ac:dyDescent="0.3">
      <c r="A19" s="38">
        <v>45950</v>
      </c>
      <c r="B19" s="43">
        <v>-3.6020000000000002E-3</v>
      </c>
      <c r="C19" s="43">
        <v>3.4965000000000003E-2</v>
      </c>
      <c r="D19" s="43">
        <v>2.5167999999999999E-2</v>
      </c>
      <c r="E19" s="43">
        <v>5.1959999999999992E-3</v>
      </c>
      <c r="F19" s="43">
        <v>1.0671999999999999E-2</v>
      </c>
      <c r="G19" s="43">
        <v>1.3018E-2</v>
      </c>
      <c r="H19" s="45">
        <f t="shared" si="0"/>
        <v>2.1962590000000004E-2</v>
      </c>
      <c r="I19" s="53"/>
      <c r="J19" s="54"/>
      <c r="K19" s="55"/>
      <c r="M19" s="45">
        <f t="shared" ca="1" si="1"/>
        <v>-1.434310550554457E-2</v>
      </c>
    </row>
    <row r="20" spans="1:13" x14ac:dyDescent="0.3">
      <c r="A20" s="38">
        <v>45951</v>
      </c>
      <c r="B20" s="43">
        <v>-1.1180000000000001E-3</v>
      </c>
      <c r="C20" s="43">
        <v>-5.7352E-2</v>
      </c>
      <c r="D20" s="43">
        <v>-7.1773999999999991E-2</v>
      </c>
      <c r="E20" s="43">
        <v>-8.3500000000000002E-4</v>
      </c>
      <c r="F20" s="43">
        <v>3.3000000000000003E-5</v>
      </c>
      <c r="G20" s="43">
        <v>-5.5199999999999997E-4</v>
      </c>
      <c r="H20" s="45">
        <f t="shared" si="0"/>
        <v>-3.5255290000000002E-2</v>
      </c>
      <c r="I20" s="47" t="s">
        <v>33</v>
      </c>
      <c r="J20" s="56">
        <f>AVERAGE(H:H)</f>
        <v>7.652612E-4</v>
      </c>
      <c r="K20" s="55"/>
      <c r="M20" s="45">
        <f t="shared" ca="1" si="1"/>
        <v>1.831083070022229E-3</v>
      </c>
    </row>
    <row r="21" spans="1:13" x14ac:dyDescent="0.3">
      <c r="A21" s="38">
        <v>45952</v>
      </c>
      <c r="B21" s="43">
        <v>-3.7819999999999998E-3</v>
      </c>
      <c r="C21" s="43">
        <v>-1.0592999999999998E-2</v>
      </c>
      <c r="D21" s="43">
        <v>2.3199999999999997E-4</v>
      </c>
      <c r="E21" s="43">
        <v>7.4219999999999998E-3</v>
      </c>
      <c r="F21" s="43">
        <v>-5.3380000000000007E-3</v>
      </c>
      <c r="G21" s="43">
        <v>-9.8750000000000001E-3</v>
      </c>
      <c r="H21" s="45">
        <f t="shared" si="0"/>
        <v>-6.9817799999999991E-3</v>
      </c>
      <c r="I21" s="47" t="s">
        <v>44</v>
      </c>
      <c r="J21" s="56">
        <f>_xlfn.STDEV.S(H:H)</f>
        <v>1.298279000663259E-2</v>
      </c>
      <c r="K21" s="55"/>
      <c r="M21" s="45">
        <f t="shared" ca="1" si="1"/>
        <v>3.318232152917433E-3</v>
      </c>
    </row>
    <row r="22" spans="1:13" x14ac:dyDescent="0.3">
      <c r="A22" s="38">
        <v>45953</v>
      </c>
      <c r="B22" s="43">
        <v>6.9700000000000003E-4</v>
      </c>
      <c r="C22" s="43">
        <v>2.0052E-2</v>
      </c>
      <c r="D22" s="43">
        <v>2.1511999999999996E-2</v>
      </c>
      <c r="E22" s="43">
        <v>4.0200000000000001E-4</v>
      </c>
      <c r="F22" s="43">
        <v>5.8269999999999997E-3</v>
      </c>
      <c r="G22" s="43">
        <v>8.7790000000000003E-3</v>
      </c>
      <c r="H22" s="45">
        <f t="shared" si="0"/>
        <v>1.3507230000000002E-2</v>
      </c>
      <c r="I22" s="53"/>
      <c r="J22" s="57"/>
      <c r="K22" s="58" t="s">
        <v>63</v>
      </c>
      <c r="M22" s="45">
        <f t="shared" ca="1" si="1"/>
        <v>2.8381520212264883E-2</v>
      </c>
    </row>
    <row r="23" spans="1:13" x14ac:dyDescent="0.3">
      <c r="A23" s="38">
        <v>45954</v>
      </c>
      <c r="B23" s="43">
        <v>8.25E-4</v>
      </c>
      <c r="C23" s="43">
        <v>-1.7210000000000001E-3</v>
      </c>
      <c r="D23" s="43">
        <v>-2.166E-3</v>
      </c>
      <c r="E23" s="43">
        <v>4.2649999999999997E-3</v>
      </c>
      <c r="F23" s="43">
        <v>7.9019999999999993E-3</v>
      </c>
      <c r="G23" s="43">
        <v>1.039E-2</v>
      </c>
      <c r="H23" s="45">
        <f t="shared" si="0"/>
        <v>1.1329799999999996E-3</v>
      </c>
      <c r="I23" s="47" t="s">
        <v>40</v>
      </c>
      <c r="J23" s="48">
        <f>J20-_xlfn.NORM.S.INV(0.95)*J21</f>
        <v>-2.0589528030358933E-2</v>
      </c>
      <c r="K23" s="49">
        <f>$K$8*J23</f>
        <v>-113242.40416697413</v>
      </c>
      <c r="M23" s="45">
        <f t="shared" ca="1" si="1"/>
        <v>-6.8845355378337096E-3</v>
      </c>
    </row>
    <row r="24" spans="1:13" x14ac:dyDescent="0.3">
      <c r="A24" s="38">
        <v>45957</v>
      </c>
      <c r="B24" s="43">
        <v>1.1749999999999998E-3</v>
      </c>
      <c r="C24" s="43">
        <v>-2.8288000000000001E-2</v>
      </c>
      <c r="D24" s="43">
        <v>-3.7517999999999996E-2</v>
      </c>
      <c r="E24" s="43">
        <v>3.0080000000000003E-3</v>
      </c>
      <c r="F24" s="43">
        <v>1.2290000000000001E-2</v>
      </c>
      <c r="G24" s="43">
        <v>1.8273999999999999E-2</v>
      </c>
      <c r="H24" s="45">
        <f t="shared" si="0"/>
        <v>-1.4075030000000002E-2</v>
      </c>
      <c r="I24" s="47" t="s">
        <v>41</v>
      </c>
      <c r="J24" s="48">
        <f>J20-_xlfn.NORM.S.INV(0.99)*J21</f>
        <v>-2.94372247310484E-2</v>
      </c>
      <c r="K24" s="49">
        <f>$K$8*J24</f>
        <v>-161904.7360207662</v>
      </c>
      <c r="M24" s="45">
        <f t="shared" ca="1" si="1"/>
        <v>2.9233188395877508E-2</v>
      </c>
    </row>
    <row r="25" spans="1:13" x14ac:dyDescent="0.3">
      <c r="A25" s="38">
        <v>45958</v>
      </c>
      <c r="B25" s="43">
        <v>1.7240000000000001E-3</v>
      </c>
      <c r="C25" s="43">
        <v>-8.9210000000000001E-3</v>
      </c>
      <c r="D25" s="43">
        <v>1.2091000000000001E-2</v>
      </c>
      <c r="E25" s="43">
        <v>-2.4109999999999999E-3</v>
      </c>
      <c r="F25" s="43">
        <v>2.2880000000000001E-3</v>
      </c>
      <c r="G25" s="43">
        <v>7.3809999999999995E-3</v>
      </c>
      <c r="H25" s="45">
        <f t="shared" si="0"/>
        <v>-2.55252E-3</v>
      </c>
      <c r="I25" s="53"/>
      <c r="J25" s="54"/>
      <c r="K25" s="55"/>
      <c r="M25" s="45">
        <f t="shared" ca="1" si="1"/>
        <v>9.6620736209692532E-4</v>
      </c>
    </row>
    <row r="26" spans="1:13" x14ac:dyDescent="0.3">
      <c r="A26" s="38">
        <v>45959</v>
      </c>
      <c r="B26" s="43">
        <v>5.2499999999999997E-4</v>
      </c>
      <c r="C26" s="43">
        <v>4.4120000000000001E-3</v>
      </c>
      <c r="D26" s="43">
        <v>1.2646999999999999E-2</v>
      </c>
      <c r="E26" s="43">
        <v>-6.2939999999999992E-3</v>
      </c>
      <c r="F26" s="43">
        <v>-4.4000000000000006E-5</v>
      </c>
      <c r="G26" s="43">
        <v>4.1399999999999996E-3</v>
      </c>
      <c r="H26" s="45">
        <f t="shared" si="0"/>
        <v>3.3307499999999999E-3</v>
      </c>
      <c r="I26" s="47" t="s">
        <v>42</v>
      </c>
      <c r="J26" s="48">
        <f>J20-(_xlfn.NORM.S.DIST(_xlfn.NORM.S.INV(0.95),FALSE)/(1-0.95)*J21)</f>
        <v>-2.6014506023860493E-2</v>
      </c>
      <c r="K26" s="49">
        <f>$K$8*J26</f>
        <v>-143079.78313123272</v>
      </c>
      <c r="M26" s="45">
        <f t="shared" ca="1" si="1"/>
        <v>-5.8899242631878729E-3</v>
      </c>
    </row>
    <row r="27" spans="1:13" x14ac:dyDescent="0.3">
      <c r="A27" s="38">
        <v>45960</v>
      </c>
      <c r="B27" s="43">
        <v>-4.6760000000000005E-3</v>
      </c>
      <c r="C27" s="43">
        <v>4.4180000000000001E-3</v>
      </c>
      <c r="D27" s="43">
        <v>1.4815E-2</v>
      </c>
      <c r="E27" s="43">
        <v>6.5310000000000003E-3</v>
      </c>
      <c r="F27" s="43">
        <v>-9.9050000000000006E-3</v>
      </c>
      <c r="G27" s="43">
        <v>-1.4740999999999999E-2</v>
      </c>
      <c r="H27" s="44">
        <f t="shared" si="0"/>
        <v>7.1260000000000008E-4</v>
      </c>
      <c r="I27" s="50" t="s">
        <v>43</v>
      </c>
      <c r="J27" s="51">
        <f>J20-(_xlfn.NORM.S.DIST(_xlfn.NORM.S.INV(0.99),FALSE)/(1-0.99)*J21)</f>
        <v>-3.38366553454406E-2</v>
      </c>
      <c r="K27" s="52">
        <f>$K$8*J27</f>
        <v>-186101.60439992329</v>
      </c>
      <c r="M27" s="45">
        <f t="shared" ca="1" si="1"/>
        <v>-2.4105150971676041E-3</v>
      </c>
    </row>
    <row r="28" spans="1:13" x14ac:dyDescent="0.3">
      <c r="A28" s="38">
        <v>45961</v>
      </c>
      <c r="B28" s="43">
        <v>-2.6619999999999999E-3</v>
      </c>
      <c r="C28" s="43">
        <v>-4.7730000000000003E-3</v>
      </c>
      <c r="D28" s="43">
        <v>-8.9619999999999995E-3</v>
      </c>
      <c r="E28" s="43">
        <v>7.7130000000000002E-3</v>
      </c>
      <c r="F28" s="43">
        <v>2.6179999999999997E-3</v>
      </c>
      <c r="G28" s="43">
        <v>4.7920000000000003E-3</v>
      </c>
      <c r="H28" s="44">
        <f t="shared" si="0"/>
        <v>-2.3684500000000002E-3</v>
      </c>
      <c r="M28" s="45">
        <f t="shared" ca="1" si="1"/>
        <v>-2.8460896036216262E-3</v>
      </c>
    </row>
    <row r="29" spans="1:13" x14ac:dyDescent="0.3">
      <c r="A29" s="38">
        <v>45964</v>
      </c>
      <c r="B29" s="43">
        <v>-3.8390000000000004E-3</v>
      </c>
      <c r="C29" s="43">
        <v>4.5450000000000004E-3</v>
      </c>
      <c r="D29" s="43">
        <v>-2.209E-3</v>
      </c>
      <c r="E29" s="43">
        <v>1.9170000000000001E-3</v>
      </c>
      <c r="F29" s="43">
        <v>1.7210000000000001E-3</v>
      </c>
      <c r="G29" s="43">
        <v>4.4400000000000004E-3</v>
      </c>
      <c r="H29" s="44">
        <f t="shared" si="0"/>
        <v>2.2693100000000001E-3</v>
      </c>
      <c r="I29" s="78" t="s">
        <v>49</v>
      </c>
      <c r="J29" s="79"/>
      <c r="K29" s="80"/>
      <c r="M29" s="45">
        <f t="shared" ca="1" si="1"/>
        <v>5.7331892377162057E-3</v>
      </c>
    </row>
    <row r="30" spans="1:13" x14ac:dyDescent="0.3">
      <c r="A30" s="38">
        <v>45965</v>
      </c>
      <c r="B30" s="43">
        <v>-7.7200000000000001E-4</v>
      </c>
      <c r="C30" s="43">
        <v>-1.3148999999999999E-2</v>
      </c>
      <c r="D30" s="43">
        <v>-1.5828999999999999E-2</v>
      </c>
      <c r="E30" s="43">
        <v>5.7999999999999994E-5</v>
      </c>
      <c r="F30" s="43">
        <v>-1.1736999999999999E-2</v>
      </c>
      <c r="G30" s="43">
        <v>-2.0684999999999999E-2</v>
      </c>
      <c r="H30" s="44">
        <f t="shared" si="0"/>
        <v>-1.1237349999999998E-2</v>
      </c>
      <c r="I30" s="53"/>
      <c r="J30" s="57"/>
      <c r="K30" s="58" t="s">
        <v>63</v>
      </c>
      <c r="M30" s="45">
        <f t="shared" ca="1" si="1"/>
        <v>-2.4726615812291304E-2</v>
      </c>
    </row>
    <row r="31" spans="1:13" x14ac:dyDescent="0.3">
      <c r="A31" s="38">
        <v>45966</v>
      </c>
      <c r="B31" s="43">
        <v>-2.9170000000000003E-3</v>
      </c>
      <c r="C31" s="43">
        <v>8.2579999999999997E-3</v>
      </c>
      <c r="D31" s="43">
        <v>1.5552999999999999E-2</v>
      </c>
      <c r="E31" s="43">
        <v>-4.1960000000000001E-3</v>
      </c>
      <c r="F31" s="43">
        <v>3.6540000000000001E-3</v>
      </c>
      <c r="G31" s="43">
        <v>7.247E-3</v>
      </c>
      <c r="H31" s="44">
        <f t="shared" si="0"/>
        <v>5.82068E-3</v>
      </c>
      <c r="I31" s="47" t="s">
        <v>40</v>
      </c>
      <c r="J31" s="48">
        <f ca="1">_xlfn.PERCENTILE.INC(M2:M251, 0.05)</f>
        <v>-2.1092162663584657E-2</v>
      </c>
      <c r="K31" s="49">
        <f ca="1">$K$8*J31</f>
        <v>-116006.89464971561</v>
      </c>
      <c r="M31" s="45">
        <f t="shared" ca="1" si="1"/>
        <v>1.0749216821258218E-2</v>
      </c>
    </row>
    <row r="32" spans="1:13" x14ac:dyDescent="0.3">
      <c r="A32" s="38">
        <v>45967</v>
      </c>
      <c r="B32" s="43">
        <v>9.77E-4</v>
      </c>
      <c r="C32" s="43">
        <v>-1.01E-4</v>
      </c>
      <c r="D32" s="43">
        <v>-1.4419999999999999E-3</v>
      </c>
      <c r="E32" s="43">
        <v>3.3600000000000001E-3</v>
      </c>
      <c r="F32" s="43">
        <v>-1.1177999999999999E-2</v>
      </c>
      <c r="G32" s="43">
        <v>-1.9125E-2</v>
      </c>
      <c r="H32" s="44">
        <f t="shared" si="0"/>
        <v>-2.76955E-3</v>
      </c>
      <c r="I32" s="47" t="s">
        <v>41</v>
      </c>
      <c r="J32" s="48">
        <f ca="1">_xlfn.PERCENTILE.INC(M2:M251, 0.01)</f>
        <v>-2.5677474531042039E-2</v>
      </c>
      <c r="K32" s="49">
        <f ca="1">$K$8*J32</f>
        <v>-141226.10992073122</v>
      </c>
      <c r="M32" s="45">
        <f t="shared" ca="1" si="1"/>
        <v>-8.409927411186166E-3</v>
      </c>
    </row>
    <row r="33" spans="1:13" x14ac:dyDescent="0.3">
      <c r="A33" s="38">
        <v>45968</v>
      </c>
      <c r="B33" s="43">
        <v>4.5620000000000001E-3</v>
      </c>
      <c r="C33" s="43">
        <v>4.8999999999999998E-3</v>
      </c>
      <c r="D33" s="43">
        <v>4.666E-3</v>
      </c>
      <c r="E33" s="43">
        <v>-7.3019999999999995E-3</v>
      </c>
      <c r="F33" s="43">
        <v>1.2620000000000001E-3</v>
      </c>
      <c r="G33" s="43">
        <v>-2.7950000000000002E-3</v>
      </c>
      <c r="H33" s="44">
        <f t="shared" si="0"/>
        <v>3.0057299999999999E-3</v>
      </c>
      <c r="I33" s="47"/>
      <c r="J33" s="48"/>
      <c r="K33" s="49"/>
      <c r="M33" s="45">
        <f t="shared" ca="1" si="1"/>
        <v>-9.9311334749005564E-3</v>
      </c>
    </row>
    <row r="34" spans="1:13" x14ac:dyDescent="0.3">
      <c r="A34" s="38">
        <v>45971</v>
      </c>
      <c r="B34" s="43">
        <v>-4.6199999999999995E-4</v>
      </c>
      <c r="C34" s="43">
        <v>2.8104000000000001E-2</v>
      </c>
      <c r="D34" s="43">
        <v>4.4984000000000003E-2</v>
      </c>
      <c r="E34" s="43">
        <v>5.6820000000000004E-3</v>
      </c>
      <c r="F34" s="43">
        <v>1.5401E-2</v>
      </c>
      <c r="G34" s="43">
        <v>2.2023999999999998E-2</v>
      </c>
      <c r="H34" s="44">
        <f t="shared" si="0"/>
        <v>2.187965E-2</v>
      </c>
      <c r="I34" s="47" t="s">
        <v>42</v>
      </c>
      <c r="J34" s="48">
        <f ca="1">AVERAGEIF(M2:M251, "&lt;"&amp;J31)</f>
        <v>-2.4312316109152063E-2</v>
      </c>
      <c r="K34" s="49">
        <f ca="1">$K$8*J34</f>
        <v>-133717.73860033634</v>
      </c>
      <c r="M34" s="45">
        <f t="shared" ca="1" si="1"/>
        <v>-1.4516350903055655E-4</v>
      </c>
    </row>
    <row r="35" spans="1:13" x14ac:dyDescent="0.3">
      <c r="A35" s="38">
        <v>45972</v>
      </c>
      <c r="B35" s="43">
        <v>1.1559999999999999E-3</v>
      </c>
      <c r="C35" s="43">
        <v>-1.2160000000000001E-3</v>
      </c>
      <c r="D35" s="43">
        <v>8.7889999999999999E-3</v>
      </c>
      <c r="E35" s="43">
        <v>2.1390000000000003E-3</v>
      </c>
      <c r="F35" s="43">
        <v>2.075E-3</v>
      </c>
      <c r="G35" s="43">
        <v>-3.055E-3</v>
      </c>
      <c r="H35" s="44">
        <f t="shared" si="0"/>
        <v>3.3799999999999992E-4</v>
      </c>
      <c r="I35" s="50" t="s">
        <v>43</v>
      </c>
      <c r="J35" s="51">
        <f ca="1">AVERAGEIF(M2:M251, "&lt;"&amp;J32)</f>
        <v>-2.7993256809402556E-2</v>
      </c>
      <c r="K35" s="52">
        <f ca="1">$K$8*J35</f>
        <v>-153962.91245171407</v>
      </c>
      <c r="M35" s="45">
        <f t="shared" ca="1" si="1"/>
        <v>-8.1646280380223485E-4</v>
      </c>
    </row>
    <row r="36" spans="1:13" x14ac:dyDescent="0.3">
      <c r="A36" s="38">
        <v>45973</v>
      </c>
      <c r="B36" s="43">
        <v>2.6190000000000002E-3</v>
      </c>
      <c r="C36" s="43">
        <v>2.3765000000000001E-2</v>
      </c>
      <c r="D36" s="43">
        <v>5.3616999999999998E-2</v>
      </c>
      <c r="E36" s="43">
        <v>-4.6100000000000004E-4</v>
      </c>
      <c r="F36" s="43">
        <v>6.3000000000000003E-4</v>
      </c>
      <c r="G36" s="43">
        <v>-6.3299999999999999E-4</v>
      </c>
      <c r="H36" s="44">
        <f t="shared" si="0"/>
        <v>1.6787030000000005E-2</v>
      </c>
      <c r="M36" s="45">
        <f t="shared" ca="1" si="1"/>
        <v>4.7433174162575852E-3</v>
      </c>
    </row>
    <row r="37" spans="1:13" x14ac:dyDescent="0.3">
      <c r="A37" s="38">
        <v>45974</v>
      </c>
      <c r="B37" s="43">
        <v>4.0599999999999995E-4</v>
      </c>
      <c r="C37" s="43">
        <v>-4.1619999999999999E-3</v>
      </c>
      <c r="D37" s="43">
        <v>-4.8380000000000003E-3</v>
      </c>
      <c r="E37" s="43">
        <v>4.1410000000000006E-3</v>
      </c>
      <c r="F37" s="43">
        <v>-1.6556999999999999E-2</v>
      </c>
      <c r="G37" s="43">
        <v>-2.053E-2</v>
      </c>
      <c r="H37" s="44">
        <f t="shared" si="0"/>
        <v>-5.8692699999999993E-3</v>
      </c>
      <c r="M37" s="45">
        <f t="shared" ca="1" si="1"/>
        <v>-2.0201571360762845E-2</v>
      </c>
    </row>
    <row r="38" spans="1:13" x14ac:dyDescent="0.3">
      <c r="A38" s="38">
        <v>45975</v>
      </c>
      <c r="B38" s="43">
        <v>3.431E-3</v>
      </c>
      <c r="C38" s="43">
        <v>-2.3717000000000002E-2</v>
      </c>
      <c r="D38" s="43">
        <v>-4.6802999999999997E-2</v>
      </c>
      <c r="E38" s="43">
        <v>-5.1699999999999999E-4</v>
      </c>
      <c r="F38" s="43">
        <v>-5.0200000000000006E-4</v>
      </c>
      <c r="G38" s="43">
        <v>5.9099999999999995E-4</v>
      </c>
      <c r="H38" s="44">
        <f t="shared" si="0"/>
        <v>-1.535831E-2</v>
      </c>
      <c r="M38" s="45">
        <f t="shared" ca="1" si="1"/>
        <v>1.4571058963010861E-3</v>
      </c>
    </row>
    <row r="39" spans="1:13" x14ac:dyDescent="0.3">
      <c r="A39" s="38">
        <v>45978</v>
      </c>
      <c r="B39" s="43">
        <v>-1.4289999999999999E-3</v>
      </c>
      <c r="C39" s="43">
        <v>-4.7220000000000005E-3</v>
      </c>
      <c r="D39" s="43">
        <v>6.9200000000000002E-4</v>
      </c>
      <c r="E39" s="43">
        <v>-3.1E-4</v>
      </c>
      <c r="F39" s="43">
        <v>-9.162E-3</v>
      </c>
      <c r="G39" s="43">
        <v>-8.3299999999999989E-3</v>
      </c>
      <c r="H39" s="44">
        <f t="shared" si="0"/>
        <v>-4.3433300000000003E-3</v>
      </c>
      <c r="M39" s="45">
        <f t="shared" ca="1" si="1"/>
        <v>1.2718846032627185E-2</v>
      </c>
    </row>
    <row r="40" spans="1:13" x14ac:dyDescent="0.3">
      <c r="A40" s="38">
        <v>45979</v>
      </c>
      <c r="B40" s="43">
        <v>-2.1329999999999999E-3</v>
      </c>
      <c r="C40" s="43">
        <v>-1.7210000000000001E-3</v>
      </c>
      <c r="D40" s="43">
        <v>-3.457E-3</v>
      </c>
      <c r="E40" s="43">
        <v>4.4510000000000001E-3</v>
      </c>
      <c r="F40" s="43">
        <v>-8.2559999999999995E-3</v>
      </c>
      <c r="G40" s="43">
        <v>-1.1969E-2</v>
      </c>
      <c r="H40" s="44">
        <f t="shared" si="0"/>
        <v>-3.1925299999999998E-3</v>
      </c>
      <c r="M40" s="45">
        <f t="shared" ca="1" si="1"/>
        <v>-4.4048806864945078E-3</v>
      </c>
    </row>
    <row r="41" spans="1:13" x14ac:dyDescent="0.3">
      <c r="A41" s="38">
        <v>45980</v>
      </c>
      <c r="B41" s="43">
        <v>-8.1100000000000009E-4</v>
      </c>
      <c r="C41" s="43">
        <v>4.0379999999999999E-3</v>
      </c>
      <c r="D41" s="43">
        <v>6.7390000000000002E-3</v>
      </c>
      <c r="E41" s="43">
        <v>1.771E-3</v>
      </c>
      <c r="F41" s="43">
        <v>3.754E-3</v>
      </c>
      <c r="G41" s="43">
        <v>5.6079999999999993E-3</v>
      </c>
      <c r="H41" s="44">
        <f t="shared" si="0"/>
        <v>3.5007700000000003E-3</v>
      </c>
      <c r="M41" s="45">
        <f t="shared" ca="1" si="1"/>
        <v>-2.0237733900195929E-2</v>
      </c>
    </row>
    <row r="42" spans="1:13" x14ac:dyDescent="0.3">
      <c r="A42" s="38">
        <v>45981</v>
      </c>
      <c r="B42" s="43">
        <v>-3.4970000000000001E-3</v>
      </c>
      <c r="C42" s="43">
        <v>-5.1990000000000005E-3</v>
      </c>
      <c r="D42" s="43">
        <v>-1.0690999999999999E-2</v>
      </c>
      <c r="E42" s="43">
        <v>9.2829999999999996E-3</v>
      </c>
      <c r="F42" s="43">
        <v>-1.5566999999999999E-2</v>
      </c>
      <c r="G42" s="43">
        <v>-2.3788E-2</v>
      </c>
      <c r="H42" s="44">
        <f t="shared" si="0"/>
        <v>-7.3276299999999999E-3</v>
      </c>
      <c r="M42" s="45">
        <f t="shared" ca="1" si="1"/>
        <v>1.8194632842040991E-2</v>
      </c>
    </row>
    <row r="43" spans="1:13" x14ac:dyDescent="0.3">
      <c r="A43" s="38">
        <v>45982</v>
      </c>
      <c r="B43" s="43">
        <v>-5.31E-4</v>
      </c>
      <c r="C43" s="43">
        <v>4.9800000000000001E-3</v>
      </c>
      <c r="D43" s="43">
        <v>-7.443E-3</v>
      </c>
      <c r="E43" s="43">
        <v>2.4009999999999999E-3</v>
      </c>
      <c r="F43" s="43">
        <v>9.8230000000000001E-3</v>
      </c>
      <c r="G43" s="43">
        <v>7.6990000000000001E-3</v>
      </c>
      <c r="H43" s="44">
        <f t="shared" si="0"/>
        <v>3.7822100000000003E-3</v>
      </c>
      <c r="M43" s="45">
        <f t="shared" ca="1" si="1"/>
        <v>1.7681857522442349E-2</v>
      </c>
    </row>
    <row r="44" spans="1:13" x14ac:dyDescent="0.3">
      <c r="A44" s="38">
        <v>45985</v>
      </c>
      <c r="B44" s="43">
        <v>-2.336E-3</v>
      </c>
      <c r="C44" s="43">
        <v>3.7280000000000004E-3</v>
      </c>
      <c r="D44" s="43">
        <v>8.4609999999999998E-3</v>
      </c>
      <c r="E44" s="43">
        <v>-4.3270000000000001E-3</v>
      </c>
      <c r="F44" s="43">
        <v>1.5467E-2</v>
      </c>
      <c r="G44" s="43">
        <v>2.6166999999999999E-2</v>
      </c>
      <c r="H44" s="44">
        <f t="shared" si="0"/>
        <v>6.0245400000000001E-3</v>
      </c>
      <c r="M44" s="45">
        <f t="shared" ca="1" si="1"/>
        <v>2.7174236520524028E-2</v>
      </c>
    </row>
    <row r="45" spans="1:13" x14ac:dyDescent="0.3">
      <c r="A45" s="38">
        <v>45986</v>
      </c>
      <c r="B45" s="43">
        <v>1.083E-3</v>
      </c>
      <c r="C45" s="43">
        <v>1.1559E-2</v>
      </c>
      <c r="D45" s="43">
        <v>1.2704999999999999E-2</v>
      </c>
      <c r="E45" s="43">
        <v>1.6020000000000001E-3</v>
      </c>
      <c r="F45" s="43">
        <v>9.0620000000000006E-3</v>
      </c>
      <c r="G45" s="43">
        <v>5.8099999999999992E-3</v>
      </c>
      <c r="H45" s="44">
        <f t="shared" si="0"/>
        <v>8.6897799999999994E-3</v>
      </c>
      <c r="M45" s="45">
        <f t="shared" ca="1" si="1"/>
        <v>5.1835040774685492E-3</v>
      </c>
    </row>
    <row r="46" spans="1:13" x14ac:dyDescent="0.3">
      <c r="A46" s="38">
        <v>45987</v>
      </c>
      <c r="B46" s="43">
        <v>3.8860000000000001E-3</v>
      </c>
      <c r="C46" s="43">
        <v>6.2810000000000001E-3</v>
      </c>
      <c r="D46" s="43">
        <v>3.8913000000000003E-2</v>
      </c>
      <c r="E46" s="43">
        <v>-4.5179999999999994E-3</v>
      </c>
      <c r="F46" s="43">
        <v>6.9069999999999999E-3</v>
      </c>
      <c r="G46" s="43">
        <v>8.737E-3</v>
      </c>
      <c r="H46" s="44">
        <f t="shared" si="0"/>
        <v>8.1742700000000008E-3</v>
      </c>
      <c r="M46" s="45">
        <f t="shared" ca="1" si="1"/>
        <v>3.8072104774758712E-4</v>
      </c>
    </row>
    <row r="47" spans="1:13" x14ac:dyDescent="0.3">
      <c r="A47" s="38">
        <v>45988</v>
      </c>
      <c r="B47" s="43">
        <v>3.225E-3</v>
      </c>
      <c r="C47" s="43">
        <v>0</v>
      </c>
      <c r="D47" s="43">
        <v>0</v>
      </c>
      <c r="E47" s="43">
        <v>5.7999999999999994E-5</v>
      </c>
      <c r="F47" s="43">
        <v>0</v>
      </c>
      <c r="G47" s="43">
        <v>0</v>
      </c>
      <c r="H47" s="44">
        <f t="shared" si="0"/>
        <v>4.8722999999999995E-4</v>
      </c>
      <c r="M47" s="45">
        <f t="shared" ca="1" si="1"/>
        <v>5.9188367379734499E-3</v>
      </c>
    </row>
    <row r="48" spans="1:13" x14ac:dyDescent="0.3">
      <c r="A48" s="38">
        <v>45989</v>
      </c>
      <c r="B48" s="43">
        <v>-1.9699999999999999E-4</v>
      </c>
      <c r="C48" s="43">
        <v>1.2747999999999999E-2</v>
      </c>
      <c r="D48" s="43">
        <v>6.6708999999999991E-2</v>
      </c>
      <c r="E48" s="43">
        <v>2.8800000000000001E-4</v>
      </c>
      <c r="F48" s="43">
        <v>5.3549999999999995E-3</v>
      </c>
      <c r="G48" s="43">
        <v>7.8440000000000003E-3</v>
      </c>
      <c r="H48" s="44">
        <f t="shared" si="0"/>
        <v>1.3120940000000001E-2</v>
      </c>
      <c r="M48" s="45">
        <f t="shared" ca="1" si="1"/>
        <v>-2.7296039193808706E-2</v>
      </c>
    </row>
    <row r="49" spans="1:13" x14ac:dyDescent="0.3">
      <c r="A49" s="38">
        <v>45992</v>
      </c>
      <c r="B49" s="43">
        <v>1.3899999999999999E-4</v>
      </c>
      <c r="C49" s="43">
        <v>4.9779999999999998E-3</v>
      </c>
      <c r="D49" s="43">
        <v>3.4935999999999995E-2</v>
      </c>
      <c r="E49" s="43">
        <v>-2.2780000000000001E-3</v>
      </c>
      <c r="F49" s="43">
        <v>-5.3229999999999996E-3</v>
      </c>
      <c r="G49" s="43">
        <v>-3.6189999999999998E-3</v>
      </c>
      <c r="H49" s="44">
        <f t="shared" si="0"/>
        <v>4.3065899999999999E-3</v>
      </c>
      <c r="M49" s="45">
        <f t="shared" ca="1" si="1"/>
        <v>-9.1318283637778046E-3</v>
      </c>
    </row>
    <row r="50" spans="1:13" x14ac:dyDescent="0.3">
      <c r="A50" s="38">
        <v>45993</v>
      </c>
      <c r="B50" s="43">
        <v>5.3400000000000008E-4</v>
      </c>
      <c r="C50" s="43">
        <v>-1.2431000000000001E-2</v>
      </c>
      <c r="D50" s="43">
        <v>-7.4460000000000004E-3</v>
      </c>
      <c r="E50" s="43">
        <v>-2.379E-3</v>
      </c>
      <c r="F50" s="43">
        <v>2.457E-3</v>
      </c>
      <c r="G50" s="43">
        <v>8.405000000000001E-3</v>
      </c>
      <c r="H50" s="44">
        <f t="shared" si="0"/>
        <v>-5.9714099999999999E-3</v>
      </c>
      <c r="M50" s="45">
        <f t="shared" ca="1" si="1"/>
        <v>1.9016770525895694E-2</v>
      </c>
    </row>
    <row r="51" spans="1:13" x14ac:dyDescent="0.3">
      <c r="A51" s="38">
        <v>45994</v>
      </c>
      <c r="B51" s="43">
        <v>1.7439999999999999E-3</v>
      </c>
      <c r="C51" s="43">
        <v>3.0330000000000001E-3</v>
      </c>
      <c r="D51" s="43">
        <v>-1.0689999999999999E-3</v>
      </c>
      <c r="E51" s="43">
        <v>1.6070000000000001E-3</v>
      </c>
      <c r="F51" s="43">
        <v>2.98E-3</v>
      </c>
      <c r="G51" s="43">
        <v>1.983E-3</v>
      </c>
      <c r="H51" s="44">
        <f t="shared" si="0"/>
        <v>2.3256000000000001E-3</v>
      </c>
      <c r="M51" s="45">
        <f t="shared" ca="1" si="1"/>
        <v>2.4825761568094389E-3</v>
      </c>
    </row>
    <row r="52" spans="1:13" x14ac:dyDescent="0.3">
      <c r="A52" s="38">
        <v>45995</v>
      </c>
      <c r="B52" s="43">
        <v>3.3479999999999998E-3</v>
      </c>
      <c r="C52" s="43">
        <v>2.977E-3</v>
      </c>
      <c r="D52" s="43">
        <v>-1.8543E-2</v>
      </c>
      <c r="E52" s="43">
        <v>-4.4929999999999996E-3</v>
      </c>
      <c r="F52" s="43">
        <v>1.08E-3</v>
      </c>
      <c r="G52" s="43">
        <v>-9.7000000000000005E-4</v>
      </c>
      <c r="H52" s="44">
        <f t="shared" si="0"/>
        <v>2.9894999999999981E-4</v>
      </c>
      <c r="M52" s="45">
        <f t="shared" ca="1" si="1"/>
        <v>-8.4705513525517046E-3</v>
      </c>
    </row>
    <row r="53" spans="1:13" x14ac:dyDescent="0.3">
      <c r="A53" s="38">
        <v>45996</v>
      </c>
      <c r="B53" s="43">
        <v>-2.0609999999999999E-3</v>
      </c>
      <c r="C53" s="43">
        <v>2.61E-4</v>
      </c>
      <c r="D53" s="43">
        <v>2.7705999999999998E-2</v>
      </c>
      <c r="E53" s="43">
        <v>2.2599999999999999E-4</v>
      </c>
      <c r="F53" s="43">
        <v>1.9370000000000001E-3</v>
      </c>
      <c r="G53" s="43">
        <v>4.3140000000000001E-3</v>
      </c>
      <c r="H53" s="44">
        <f t="shared" si="0"/>
        <v>2.65533E-3</v>
      </c>
      <c r="M53" s="45">
        <f t="shared" ca="1" si="1"/>
        <v>-1.6677461087326487E-2</v>
      </c>
    </row>
    <row r="54" spans="1:13" x14ac:dyDescent="0.3">
      <c r="A54" s="38">
        <v>45999</v>
      </c>
      <c r="B54" s="43">
        <v>-2.2100000000000001E-4</v>
      </c>
      <c r="C54" s="43">
        <v>-6.0999999999999995E-3</v>
      </c>
      <c r="D54" s="43">
        <v>-1.1006E-2</v>
      </c>
      <c r="E54" s="43">
        <v>1.276E-3</v>
      </c>
      <c r="F54" s="43">
        <v>-3.4770000000000001E-3</v>
      </c>
      <c r="G54" s="43">
        <v>-2.4949999999999998E-3</v>
      </c>
      <c r="H54" s="44">
        <f t="shared" si="0"/>
        <v>-4.5550899999999995E-3</v>
      </c>
      <c r="M54" s="45">
        <f t="shared" ca="1" si="1"/>
        <v>2.0727078240873453E-3</v>
      </c>
    </row>
    <row r="55" spans="1:13" x14ac:dyDescent="0.3">
      <c r="A55" s="38">
        <v>46000</v>
      </c>
      <c r="B55" s="43">
        <v>1.05E-4</v>
      </c>
      <c r="C55" s="43">
        <v>4.6569999999999997E-3</v>
      </c>
      <c r="D55" s="43">
        <v>4.1363999999999998E-2</v>
      </c>
      <c r="E55" s="43">
        <v>3.2440000000000004E-3</v>
      </c>
      <c r="F55" s="43">
        <v>-8.7599999999999993E-4</v>
      </c>
      <c r="G55" s="43">
        <v>1.5900000000000001E-3</v>
      </c>
      <c r="H55" s="44">
        <f t="shared" si="0"/>
        <v>5.9413200000000008E-3</v>
      </c>
      <c r="M55" s="45">
        <f t="shared" ca="1" si="1"/>
        <v>-2.6409767527178401E-3</v>
      </c>
    </row>
    <row r="56" spans="1:13" x14ac:dyDescent="0.3">
      <c r="A56" s="38">
        <v>46001</v>
      </c>
      <c r="B56" s="43">
        <v>-1.1279999999999999E-3</v>
      </c>
      <c r="C56" s="43">
        <v>-2.4490000000000002E-3</v>
      </c>
      <c r="D56" s="43">
        <v>3.4899999999999996E-3</v>
      </c>
      <c r="E56" s="43">
        <v>6.378E-3</v>
      </c>
      <c r="F56" s="43">
        <v>6.7500000000000008E-3</v>
      </c>
      <c r="G56" s="43">
        <v>4.1980000000000003E-3</v>
      </c>
      <c r="H56" s="44">
        <f t="shared" si="0"/>
        <v>3.6400999999999984E-4</v>
      </c>
      <c r="M56" s="45">
        <f t="shared" ca="1" si="1"/>
        <v>-1.5310684658911672E-2</v>
      </c>
    </row>
    <row r="57" spans="1:13" x14ac:dyDescent="0.3">
      <c r="A57" s="38">
        <v>46002</v>
      </c>
      <c r="B57" s="43">
        <v>6.2719999999999998E-3</v>
      </c>
      <c r="C57" s="43">
        <v>2.1232999999999998E-2</v>
      </c>
      <c r="D57" s="43">
        <v>5.8795E-2</v>
      </c>
      <c r="E57" s="43">
        <v>-6.6820000000000004E-3</v>
      </c>
      <c r="F57" s="43">
        <v>2.0790000000000001E-3</v>
      </c>
      <c r="G57" s="43">
        <v>-3.4820000000000003E-3</v>
      </c>
      <c r="H57" s="44">
        <f t="shared" si="0"/>
        <v>1.5987620000000001E-2</v>
      </c>
      <c r="M57" s="45">
        <f t="shared" ca="1" si="1"/>
        <v>-1.6633429153451208E-2</v>
      </c>
    </row>
    <row r="58" spans="1:13" x14ac:dyDescent="0.3">
      <c r="A58" s="38">
        <v>46003</v>
      </c>
      <c r="B58" s="43">
        <v>3.2640000000000004E-3</v>
      </c>
      <c r="C58" s="43">
        <v>3.4069999999999999E-3</v>
      </c>
      <c r="D58" s="43">
        <v>-4.0153999999999995E-2</v>
      </c>
      <c r="E58" s="43">
        <v>-1.431E-3</v>
      </c>
      <c r="F58" s="43">
        <v>-1.0664E-2</v>
      </c>
      <c r="G58" s="43">
        <v>-1.9074000000000001E-2</v>
      </c>
      <c r="H58" s="44">
        <f t="shared" si="0"/>
        <v>-3.9607100000000001E-3</v>
      </c>
      <c r="M58" s="45">
        <f t="shared" ca="1" si="1"/>
        <v>-1.14632748283985E-2</v>
      </c>
    </row>
    <row r="59" spans="1:13" x14ac:dyDescent="0.3">
      <c r="A59" s="38">
        <v>46006</v>
      </c>
      <c r="B59" s="43">
        <v>-1.5300000000000001E-4</v>
      </c>
      <c r="C59" s="43">
        <v>1.5349999999999999E-3</v>
      </c>
      <c r="D59" s="43">
        <v>2.5716000000000003E-2</v>
      </c>
      <c r="E59" s="43">
        <v>2.0630000000000002E-3</v>
      </c>
      <c r="F59" s="43">
        <v>-1.5970000000000001E-3</v>
      </c>
      <c r="G59" s="43">
        <v>-5.1380000000000002E-3</v>
      </c>
      <c r="H59" s="44">
        <f t="shared" si="0"/>
        <v>2.3028700000000003E-3</v>
      </c>
      <c r="M59" s="45">
        <f t="shared" ca="1" si="1"/>
        <v>-1.4132950127134201E-3</v>
      </c>
    </row>
    <row r="60" spans="1:13" x14ac:dyDescent="0.3">
      <c r="A60" s="38">
        <v>46007</v>
      </c>
      <c r="B60" s="43">
        <v>1.446E-3</v>
      </c>
      <c r="C60" s="43">
        <v>-5.1099999999999995E-4</v>
      </c>
      <c r="D60" s="43">
        <v>-3.8129999999999995E-3</v>
      </c>
      <c r="E60" s="43">
        <v>-5.6000000000000008E-3</v>
      </c>
      <c r="F60" s="43">
        <v>-2.3839999999999998E-3</v>
      </c>
      <c r="G60" s="43">
        <v>2.6199999999999999E-3</v>
      </c>
      <c r="H60" s="44">
        <f t="shared" si="0"/>
        <v>-7.1119E-4</v>
      </c>
      <c r="I60" s="60" t="s">
        <v>62</v>
      </c>
      <c r="J60" s="61" t="s">
        <v>63</v>
      </c>
      <c r="K60" s="60" t="s">
        <v>64</v>
      </c>
      <c r="L60" s="61" t="s">
        <v>63</v>
      </c>
      <c r="M60" s="45">
        <f t="shared" ca="1" si="1"/>
        <v>2.0760571993080387E-2</v>
      </c>
    </row>
    <row r="61" spans="1:13" x14ac:dyDescent="0.3">
      <c r="A61" s="38">
        <v>46008</v>
      </c>
      <c r="B61" s="43">
        <v>-4.3499999999999995E-4</v>
      </c>
      <c r="C61" s="43">
        <v>9.9900000000000006E-3</v>
      </c>
      <c r="D61" s="43">
        <v>5.6410999999999996E-2</v>
      </c>
      <c r="E61" s="43">
        <v>-1.529E-3</v>
      </c>
      <c r="F61" s="43">
        <v>-1.1592E-2</v>
      </c>
      <c r="G61" s="43">
        <v>-1.9311000000000002E-2</v>
      </c>
      <c r="H61" s="44">
        <f t="shared" si="0"/>
        <v>6.4376800000000012E-3</v>
      </c>
      <c r="I61" s="48">
        <f>_xlfn.PERCENTILE.INC(H2:H61, 0.05)</f>
        <v>-1.4139194000000002E-2</v>
      </c>
      <c r="J61" s="49">
        <f>$K$8*I61</f>
        <v>-77765.56700000001</v>
      </c>
      <c r="K61" s="48">
        <f>AVERAGEIF(H2:H61, "&lt;"&amp;I61)</f>
        <v>-2.2100596666666666E-2</v>
      </c>
      <c r="L61" s="49">
        <f>$K$8*K61</f>
        <v>-121553.28166666666</v>
      </c>
      <c r="M61" s="45">
        <f t="shared" ca="1" si="1"/>
        <v>-2.0855746834874282E-2</v>
      </c>
    </row>
    <row r="62" spans="1:13" x14ac:dyDescent="0.3">
      <c r="A62" s="38">
        <v>46009</v>
      </c>
      <c r="B62" s="43">
        <v>-6.11E-4</v>
      </c>
      <c r="C62" s="43">
        <v>-1.8400000000000001E-3</v>
      </c>
      <c r="D62" s="43">
        <v>-2.4834999999999999E-2</v>
      </c>
      <c r="E62" s="43">
        <v>4.6319999999999998E-3</v>
      </c>
      <c r="F62" s="43">
        <v>7.9340000000000001E-3</v>
      </c>
      <c r="G62" s="43">
        <v>1.5082999999999999E-2</v>
      </c>
      <c r="H62" s="44">
        <f t="shared" si="0"/>
        <v>-5.0871999999999983E-4</v>
      </c>
      <c r="I62" s="48">
        <f t="shared" ref="I62:I125" si="5">_xlfn.PERCENTILE.INC(H3:H62, 0.05)</f>
        <v>-1.4139194000000002E-2</v>
      </c>
      <c r="J62" s="49">
        <f t="shared" ref="J62:J125" si="6">$K$8*I62</f>
        <v>-77765.56700000001</v>
      </c>
      <c r="K62" s="48">
        <f t="shared" ref="K62:K125" si="7">AVERAGEIF(H3:H62, "&lt;"&amp;I62)</f>
        <v>-2.2100596666666666E-2</v>
      </c>
      <c r="L62" s="49">
        <f t="shared" ref="L62:L125" si="8">$K$8*K62</f>
        <v>-121553.28166666666</v>
      </c>
      <c r="M62" s="45">
        <f t="shared" ca="1" si="1"/>
        <v>-9.9973070947516653E-3</v>
      </c>
    </row>
    <row r="63" spans="1:13" x14ac:dyDescent="0.3">
      <c r="A63" s="38">
        <v>46010</v>
      </c>
      <c r="B63" s="43">
        <v>-1.4189999999999999E-3</v>
      </c>
      <c r="C63" s="43">
        <v>5.0470000000000003E-3</v>
      </c>
      <c r="D63" s="43">
        <v>3.4880000000000001E-2</v>
      </c>
      <c r="E63" s="43">
        <v>5.8500000000000002E-4</v>
      </c>
      <c r="F63" s="43">
        <v>8.8179999999999994E-3</v>
      </c>
      <c r="G63" s="43">
        <v>1.3062000000000001E-2</v>
      </c>
      <c r="H63" s="44">
        <f t="shared" si="0"/>
        <v>7.3321799999999989E-3</v>
      </c>
      <c r="I63" s="48">
        <f t="shared" si="5"/>
        <v>-1.4139194000000002E-2</v>
      </c>
      <c r="J63" s="49">
        <f t="shared" si="6"/>
        <v>-77765.56700000001</v>
      </c>
      <c r="K63" s="48">
        <f t="shared" si="7"/>
        <v>-2.2100596666666666E-2</v>
      </c>
      <c r="L63" s="49">
        <f t="shared" si="8"/>
        <v>-121553.28166666666</v>
      </c>
      <c r="M63" s="45">
        <f t="shared" ca="1" si="1"/>
        <v>1.0193885069419539E-2</v>
      </c>
    </row>
    <row r="64" spans="1:13" x14ac:dyDescent="0.3">
      <c r="A64" s="38">
        <v>46013</v>
      </c>
      <c r="B64" s="43">
        <v>-1.4990000000000001E-3</v>
      </c>
      <c r="C64" s="43">
        <v>1.9075999999999999E-2</v>
      </c>
      <c r="D64" s="43">
        <v>1.5872000000000001E-2</v>
      </c>
      <c r="E64" s="43">
        <v>1.3432999999999999E-2</v>
      </c>
      <c r="F64" s="43">
        <v>6.4359999999999999E-3</v>
      </c>
      <c r="G64" s="43">
        <v>4.5579999999999996E-3</v>
      </c>
      <c r="H64" s="44">
        <f t="shared" si="0"/>
        <v>1.2697829999999998E-2</v>
      </c>
      <c r="I64" s="48">
        <f t="shared" si="5"/>
        <v>-1.4139194000000002E-2</v>
      </c>
      <c r="J64" s="49">
        <f t="shared" si="6"/>
        <v>-77765.56700000001</v>
      </c>
      <c r="K64" s="48">
        <f t="shared" si="7"/>
        <v>-2.2100596666666666E-2</v>
      </c>
      <c r="L64" s="49">
        <f t="shared" si="8"/>
        <v>-121553.28166666666</v>
      </c>
      <c r="M64" s="45">
        <f t="shared" ca="1" si="1"/>
        <v>1.6372754259310347E-2</v>
      </c>
    </row>
    <row r="65" spans="1:13" x14ac:dyDescent="0.3">
      <c r="A65" s="38">
        <v>46014</v>
      </c>
      <c r="B65" s="43">
        <v>4.9419999999999993E-3</v>
      </c>
      <c r="C65" s="43">
        <v>8.5950000000000002E-3</v>
      </c>
      <c r="D65" s="43">
        <v>3.7978999999999999E-2</v>
      </c>
      <c r="E65" s="43">
        <v>-5.0670000000000003E-3</v>
      </c>
      <c r="F65" s="43">
        <v>4.5500000000000002E-3</v>
      </c>
      <c r="G65" s="43">
        <v>4.9540000000000001E-3</v>
      </c>
      <c r="H65" s="44">
        <f t="shared" si="0"/>
        <v>8.8054099999999996E-3</v>
      </c>
      <c r="I65" s="48">
        <f t="shared" si="5"/>
        <v>-1.4139194000000002E-2</v>
      </c>
      <c r="J65" s="49">
        <f t="shared" si="6"/>
        <v>-77765.56700000001</v>
      </c>
      <c r="K65" s="48">
        <f t="shared" si="7"/>
        <v>-2.2100596666666666E-2</v>
      </c>
      <c r="L65" s="49">
        <f t="shared" si="8"/>
        <v>-121553.28166666666</v>
      </c>
      <c r="M65" s="45">
        <f t="shared" ca="1" si="1"/>
        <v>2.8605495100075436E-3</v>
      </c>
    </row>
    <row r="66" spans="1:13" x14ac:dyDescent="0.3">
      <c r="A66" s="38">
        <v>46015</v>
      </c>
      <c r="B66" s="43">
        <v>2.513E-3</v>
      </c>
      <c r="C66" s="43">
        <v>-4.9100000000000001E-4</v>
      </c>
      <c r="D66" s="43">
        <v>7.7459999999999994E-3</v>
      </c>
      <c r="E66" s="43">
        <v>-4.4679999999999997E-3</v>
      </c>
      <c r="F66" s="43">
        <v>3.2209999999999999E-3</v>
      </c>
      <c r="G66" s="43">
        <v>2.6700000000000001E-3</v>
      </c>
      <c r="H66" s="44">
        <f t="shared" ref="H66:H129" si="9">$J$2*B66+C66*$J$3+$J$4*D66+E66*$J$5+$J$6*F66+G66*$J$7</f>
        <v>1.0727499999999999E-3</v>
      </c>
      <c r="I66" s="48">
        <f t="shared" si="5"/>
        <v>-1.4139194000000002E-2</v>
      </c>
      <c r="J66" s="49">
        <f t="shared" si="6"/>
        <v>-77765.56700000001</v>
      </c>
      <c r="K66" s="48">
        <f t="shared" si="7"/>
        <v>-2.2100596666666666E-2</v>
      </c>
      <c r="L66" s="49">
        <f t="shared" si="8"/>
        <v>-121553.28166666666</v>
      </c>
      <c r="M66" s="45">
        <f t="shared" ref="M66:M129" ca="1" si="10">NORMINV(RAND(), $J$20, $J$21)</f>
        <v>5.9100115392238363E-3</v>
      </c>
    </row>
    <row r="67" spans="1:13" x14ac:dyDescent="0.3">
      <c r="A67" s="38">
        <v>46017</v>
      </c>
      <c r="B67" s="43">
        <v>-8.5999999999999998E-4</v>
      </c>
      <c r="C67" s="43">
        <v>1.0824E-2</v>
      </c>
      <c r="D67" s="43">
        <v>7.6797000000000004E-2</v>
      </c>
      <c r="E67" s="43">
        <v>-5.5100000000000006E-4</v>
      </c>
      <c r="F67" s="43">
        <v>-3.0400000000000002E-4</v>
      </c>
      <c r="G67" s="43">
        <v>-4.5800000000000002E-4</v>
      </c>
      <c r="H67" s="44">
        <f t="shared" si="9"/>
        <v>1.1427280000000001E-2</v>
      </c>
      <c r="I67" s="48">
        <f t="shared" si="5"/>
        <v>-1.4139194000000002E-2</v>
      </c>
      <c r="J67" s="49">
        <f t="shared" si="6"/>
        <v>-77765.56700000001</v>
      </c>
      <c r="K67" s="48">
        <f t="shared" si="7"/>
        <v>-2.2100596666666666E-2</v>
      </c>
      <c r="L67" s="49">
        <f t="shared" si="8"/>
        <v>-121553.28166666666</v>
      </c>
      <c r="M67" s="45">
        <f t="shared" ca="1" si="10"/>
        <v>-2.1341241870119099E-2</v>
      </c>
    </row>
    <row r="68" spans="1:13" x14ac:dyDescent="0.3">
      <c r="A68" s="38">
        <v>46020</v>
      </c>
      <c r="B68" s="43">
        <v>-1.0709999999999999E-3</v>
      </c>
      <c r="C68" s="43">
        <v>-4.5041999999999999E-2</v>
      </c>
      <c r="D68" s="43">
        <v>-8.6682000000000009E-2</v>
      </c>
      <c r="E68" s="43">
        <v>2.3899999999999998E-3</v>
      </c>
      <c r="F68" s="43">
        <v>-3.4920000000000003E-3</v>
      </c>
      <c r="G68" s="43">
        <v>-4.6340000000000001E-3</v>
      </c>
      <c r="H68" s="44">
        <f t="shared" si="9"/>
        <v>-3.0724410000000001E-2</v>
      </c>
      <c r="I68" s="48">
        <f t="shared" si="5"/>
        <v>-1.5374804000000001E-2</v>
      </c>
      <c r="J68" s="49">
        <f t="shared" si="6"/>
        <v>-84561.422000000006</v>
      </c>
      <c r="K68" s="48">
        <f t="shared" si="7"/>
        <v>-2.7222629999999998E-2</v>
      </c>
      <c r="L68" s="49">
        <f t="shared" si="8"/>
        <v>-149724.465</v>
      </c>
      <c r="M68" s="45">
        <f t="shared" ca="1" si="10"/>
        <v>-1.8120196511372935E-2</v>
      </c>
    </row>
    <row r="69" spans="1:13" x14ac:dyDescent="0.3">
      <c r="A69" s="38">
        <v>46021</v>
      </c>
      <c r="B69" s="43">
        <v>1.1999999999999999E-5</v>
      </c>
      <c r="C69" s="43">
        <v>1.0404E-2</v>
      </c>
      <c r="D69" s="43">
        <v>0.10762100000000001</v>
      </c>
      <c r="E69" s="43">
        <v>-2.8760000000000001E-3</v>
      </c>
      <c r="F69" s="43">
        <v>-1.3760000000000001E-3</v>
      </c>
      <c r="G69" s="43">
        <v>-2.4679999999999997E-3</v>
      </c>
      <c r="H69" s="44">
        <f t="shared" si="9"/>
        <v>1.3371480000000002E-2</v>
      </c>
      <c r="I69" s="48">
        <f t="shared" si="5"/>
        <v>-1.5374804000000001E-2</v>
      </c>
      <c r="J69" s="49">
        <f t="shared" si="6"/>
        <v>-84561.422000000006</v>
      </c>
      <c r="K69" s="48">
        <f t="shared" si="7"/>
        <v>-2.7222629999999998E-2</v>
      </c>
      <c r="L69" s="49">
        <f t="shared" si="8"/>
        <v>-149724.465</v>
      </c>
      <c r="M69" s="45">
        <f t="shared" ca="1" si="10"/>
        <v>1.1885611226118854E-2</v>
      </c>
    </row>
    <row r="70" spans="1:13" x14ac:dyDescent="0.3">
      <c r="A70" s="38">
        <v>46022</v>
      </c>
      <c r="B70" s="43">
        <v>-2.173E-3</v>
      </c>
      <c r="C70" s="43">
        <v>-1.0182999999999999E-2</v>
      </c>
      <c r="D70" s="43">
        <v>-9.3571000000000015E-2</v>
      </c>
      <c r="E70" s="43">
        <v>2.5640000000000003E-3</v>
      </c>
      <c r="F70" s="43">
        <v>-7.358E-3</v>
      </c>
      <c r="G70" s="43">
        <v>-8.3540000000000003E-3</v>
      </c>
      <c r="H70" s="44">
        <f t="shared" si="9"/>
        <v>-1.4412360000000001E-2</v>
      </c>
      <c r="I70" s="48">
        <f t="shared" si="5"/>
        <v>-1.5374804000000001E-2</v>
      </c>
      <c r="J70" s="49">
        <f t="shared" si="6"/>
        <v>-84561.422000000006</v>
      </c>
      <c r="K70" s="48">
        <f t="shared" si="7"/>
        <v>-2.7222629999999998E-2</v>
      </c>
      <c r="L70" s="49">
        <f t="shared" si="8"/>
        <v>-149724.465</v>
      </c>
      <c r="M70" s="45">
        <f t="shared" ca="1" si="10"/>
        <v>-9.4035535132748894E-4</v>
      </c>
    </row>
    <row r="71" spans="1:13" x14ac:dyDescent="0.3">
      <c r="A71" s="38">
        <v>46024</v>
      </c>
      <c r="B71" s="43">
        <v>2.7E-4</v>
      </c>
      <c r="C71" s="43">
        <v>-2.5890000000000002E-3</v>
      </c>
      <c r="D71" s="43">
        <v>6.0169999999999998E-3</v>
      </c>
      <c r="E71" s="43">
        <v>2.0330000000000001E-3</v>
      </c>
      <c r="F71" s="43">
        <v>1.895E-3</v>
      </c>
      <c r="G71" s="43">
        <v>-1.7299999999999998E-3</v>
      </c>
      <c r="H71" s="44">
        <f t="shared" si="9"/>
        <v>-6.2380000000000009E-4</v>
      </c>
      <c r="I71" s="48">
        <f t="shared" si="5"/>
        <v>-1.5374804000000001E-2</v>
      </c>
      <c r="J71" s="49">
        <f t="shared" si="6"/>
        <v>-84561.422000000006</v>
      </c>
      <c r="K71" s="48">
        <f t="shared" si="7"/>
        <v>-2.7222629999999998E-2</v>
      </c>
      <c r="L71" s="49">
        <f t="shared" si="8"/>
        <v>-149724.465</v>
      </c>
      <c r="M71" s="45">
        <f t="shared" ca="1" si="10"/>
        <v>-1.3231216700114486E-2</v>
      </c>
    </row>
    <row r="72" spans="1:13" x14ac:dyDescent="0.3">
      <c r="A72" s="38">
        <v>46027</v>
      </c>
      <c r="B72" s="43">
        <v>-3.898E-3</v>
      </c>
      <c r="C72" s="43">
        <v>2.8393000000000002E-2</v>
      </c>
      <c r="D72" s="43">
        <v>7.9482999999999998E-2</v>
      </c>
      <c r="E72" s="43">
        <v>1.6459999999999999E-3</v>
      </c>
      <c r="F72" s="43">
        <v>6.3539999999999994E-3</v>
      </c>
      <c r="G72" s="43">
        <v>7.7419999999999998E-3</v>
      </c>
      <c r="H72" s="44">
        <f t="shared" si="9"/>
        <v>2.174885E-2</v>
      </c>
      <c r="I72" s="48">
        <f t="shared" si="5"/>
        <v>-1.44596575E-2</v>
      </c>
      <c r="J72" s="49">
        <f t="shared" si="6"/>
        <v>-79528.116250000006</v>
      </c>
      <c r="K72" s="48">
        <f t="shared" si="7"/>
        <v>-2.7112670000000002E-2</v>
      </c>
      <c r="L72" s="49">
        <f t="shared" si="8"/>
        <v>-149119.685</v>
      </c>
      <c r="M72" s="45">
        <f t="shared" ca="1" si="10"/>
        <v>3.1075014966313085E-3</v>
      </c>
    </row>
    <row r="73" spans="1:13" x14ac:dyDescent="0.3">
      <c r="A73" s="38">
        <v>46028</v>
      </c>
      <c r="B73" s="43">
        <v>8.7900000000000001E-4</v>
      </c>
      <c r="C73" s="43">
        <v>1.0209999999999999E-2</v>
      </c>
      <c r="D73" s="43">
        <v>5.7324E-2</v>
      </c>
      <c r="E73" s="43">
        <v>-2.3119999999999998E-3</v>
      </c>
      <c r="F73" s="43">
        <v>6.1970000000000003E-3</v>
      </c>
      <c r="G73" s="43">
        <v>9.3849999999999992E-3</v>
      </c>
      <c r="H73" s="44">
        <f t="shared" si="9"/>
        <v>1.131247E-2</v>
      </c>
      <c r="I73" s="48">
        <f t="shared" si="5"/>
        <v>-1.44596575E-2</v>
      </c>
      <c r="J73" s="49">
        <f t="shared" si="6"/>
        <v>-79528.116250000006</v>
      </c>
      <c r="K73" s="48">
        <f t="shared" si="7"/>
        <v>-2.7112670000000002E-2</v>
      </c>
      <c r="L73" s="49">
        <f t="shared" si="8"/>
        <v>-149119.685</v>
      </c>
      <c r="M73" s="45">
        <f t="shared" ca="1" si="10"/>
        <v>-5.6693287316978607E-3</v>
      </c>
    </row>
    <row r="74" spans="1:13" x14ac:dyDescent="0.3">
      <c r="A74" s="38">
        <v>46029</v>
      </c>
      <c r="B74" s="43">
        <v>-2.2789999999999998E-3</v>
      </c>
      <c r="C74" s="43">
        <v>-7.3400000000000002E-3</v>
      </c>
      <c r="D74" s="43">
        <v>-4.2158000000000001E-2</v>
      </c>
      <c r="E74" s="43">
        <v>3.4500000000000004E-4</v>
      </c>
      <c r="F74" s="43">
        <v>-3.4399999999999999E-3</v>
      </c>
      <c r="G74" s="43">
        <v>5.53E-4</v>
      </c>
      <c r="H74" s="44">
        <f t="shared" si="9"/>
        <v>-7.7658199999999988E-3</v>
      </c>
      <c r="I74" s="48">
        <f t="shared" si="5"/>
        <v>-1.44596575E-2</v>
      </c>
      <c r="J74" s="49">
        <f t="shared" si="6"/>
        <v>-79528.116250000006</v>
      </c>
      <c r="K74" s="48">
        <f t="shared" si="7"/>
        <v>-2.7112670000000002E-2</v>
      </c>
      <c r="L74" s="49">
        <f t="shared" si="8"/>
        <v>-149119.685</v>
      </c>
      <c r="M74" s="45">
        <f t="shared" ca="1" si="10"/>
        <v>4.3466061878763666E-3</v>
      </c>
    </row>
    <row r="75" spans="1:13" x14ac:dyDescent="0.3">
      <c r="A75" s="38">
        <v>46030</v>
      </c>
      <c r="B75" s="43">
        <v>-9.810000000000001E-4</v>
      </c>
      <c r="C75" s="43">
        <v>8.9999999999999992E-5</v>
      </c>
      <c r="D75" s="43">
        <v>-3.1361E-2</v>
      </c>
      <c r="E75" s="43">
        <v>3.2599999999999996E-4</v>
      </c>
      <c r="F75" s="43">
        <v>7.7000000000000001E-5</v>
      </c>
      <c r="G75" s="43">
        <v>-5.7220000000000005E-3</v>
      </c>
      <c r="H75" s="44">
        <f t="shared" si="9"/>
        <v>-3.0970800000000003E-3</v>
      </c>
      <c r="I75" s="48">
        <f t="shared" si="5"/>
        <v>-1.44596575E-2</v>
      </c>
      <c r="J75" s="49">
        <f t="shared" si="6"/>
        <v>-79528.116250000006</v>
      </c>
      <c r="K75" s="48">
        <f t="shared" si="7"/>
        <v>-2.7112670000000002E-2</v>
      </c>
      <c r="L75" s="49">
        <f t="shared" si="8"/>
        <v>-149119.685</v>
      </c>
      <c r="M75" s="45">
        <f t="shared" ca="1" si="10"/>
        <v>7.7404620637119229E-3</v>
      </c>
    </row>
    <row r="76" spans="1:13" x14ac:dyDescent="0.3">
      <c r="A76" s="38">
        <v>46031</v>
      </c>
      <c r="B76" s="43">
        <v>-1.6200000000000001E-3</v>
      </c>
      <c r="C76" s="43">
        <v>9.1240000000000002E-3</v>
      </c>
      <c r="D76" s="43">
        <v>5.5785000000000001E-2</v>
      </c>
      <c r="E76" s="43">
        <v>9.5100000000000002E-4</v>
      </c>
      <c r="F76" s="43">
        <v>6.4749999999999999E-3</v>
      </c>
      <c r="G76" s="43">
        <v>1.0160000000000001E-2</v>
      </c>
      <c r="H76" s="44">
        <f t="shared" si="9"/>
        <v>1.0556749999999998E-2</v>
      </c>
      <c r="I76" s="48">
        <f t="shared" si="5"/>
        <v>-1.44596575E-2</v>
      </c>
      <c r="J76" s="49">
        <f t="shared" si="6"/>
        <v>-79528.116250000006</v>
      </c>
      <c r="K76" s="48">
        <f t="shared" si="7"/>
        <v>-2.7112670000000002E-2</v>
      </c>
      <c r="L76" s="49">
        <f t="shared" si="8"/>
        <v>-149119.685</v>
      </c>
      <c r="M76" s="45">
        <f t="shared" ca="1" si="10"/>
        <v>1.0852321682390141E-4</v>
      </c>
    </row>
    <row r="77" spans="1:13" x14ac:dyDescent="0.3">
      <c r="A77" s="38">
        <v>46034</v>
      </c>
      <c r="B77" s="43">
        <v>-2.9289999999999997E-3</v>
      </c>
      <c r="C77" s="43">
        <v>2.5388000000000001E-2</v>
      </c>
      <c r="D77" s="43">
        <v>7.2588E-2</v>
      </c>
      <c r="E77" s="43">
        <v>8.088999999999999E-3</v>
      </c>
      <c r="F77" s="43">
        <v>1.578E-3</v>
      </c>
      <c r="G77" s="43">
        <v>8.3099999999999992E-4</v>
      </c>
      <c r="H77" s="44">
        <f t="shared" si="9"/>
        <v>1.9049280000000002E-2</v>
      </c>
      <c r="I77" s="48">
        <f t="shared" si="5"/>
        <v>-1.44596575E-2</v>
      </c>
      <c r="J77" s="49">
        <f t="shared" si="6"/>
        <v>-79528.116250000006</v>
      </c>
      <c r="K77" s="48">
        <f t="shared" si="7"/>
        <v>-2.7112670000000002E-2</v>
      </c>
      <c r="L77" s="49">
        <f t="shared" si="8"/>
        <v>-149119.685</v>
      </c>
      <c r="M77" s="45">
        <f t="shared" ca="1" si="10"/>
        <v>-5.2527845140596221E-3</v>
      </c>
    </row>
    <row r="78" spans="1:13" x14ac:dyDescent="0.3">
      <c r="A78" s="38">
        <v>46035</v>
      </c>
      <c r="B78" s="43">
        <v>3.7219999999999996E-3</v>
      </c>
      <c r="C78" s="43">
        <v>-3.2790000000000002E-3</v>
      </c>
      <c r="D78" s="43">
        <v>1.4975E-2</v>
      </c>
      <c r="E78" s="43">
        <v>-1.031E-3</v>
      </c>
      <c r="F78" s="43">
        <v>-1.939E-3</v>
      </c>
      <c r="G78" s="43">
        <v>-1.7730000000000001E-3</v>
      </c>
      <c r="H78" s="44">
        <f t="shared" si="9"/>
        <v>-3.5070999999999995E-4</v>
      </c>
      <c r="I78" s="48">
        <f t="shared" si="5"/>
        <v>-1.44596575E-2</v>
      </c>
      <c r="J78" s="49">
        <f t="shared" si="6"/>
        <v>-79528.116250000006</v>
      </c>
      <c r="K78" s="48">
        <f t="shared" si="7"/>
        <v>-2.7112670000000002E-2</v>
      </c>
      <c r="L78" s="49">
        <f t="shared" si="8"/>
        <v>-149119.685</v>
      </c>
      <c r="M78" s="45">
        <f t="shared" ca="1" si="10"/>
        <v>6.8951994516956751E-3</v>
      </c>
    </row>
    <row r="79" spans="1:13" x14ac:dyDescent="0.3">
      <c r="A79" s="38">
        <v>46036</v>
      </c>
      <c r="B79" s="43">
        <v>-2.0960000000000002E-3</v>
      </c>
      <c r="C79" s="43">
        <v>8.0840000000000009E-3</v>
      </c>
      <c r="D79" s="43">
        <v>5.8129999999999994E-2</v>
      </c>
      <c r="E79" s="43">
        <v>7.5509999999999996E-3</v>
      </c>
      <c r="F79" s="43">
        <v>-5.3330000000000001E-3</v>
      </c>
      <c r="G79" s="43">
        <v>-1.0722000000000001E-2</v>
      </c>
      <c r="H79" s="44">
        <f t="shared" si="9"/>
        <v>7.3602900000000011E-3</v>
      </c>
      <c r="I79" s="48">
        <f t="shared" si="5"/>
        <v>-1.44596575E-2</v>
      </c>
      <c r="J79" s="49">
        <f t="shared" si="6"/>
        <v>-79528.116250000006</v>
      </c>
      <c r="K79" s="48">
        <f t="shared" si="7"/>
        <v>-2.7112670000000002E-2</v>
      </c>
      <c r="L79" s="49">
        <f t="shared" si="8"/>
        <v>-149119.685</v>
      </c>
      <c r="M79" s="45">
        <f t="shared" ca="1" si="10"/>
        <v>-1.2240989612949027E-2</v>
      </c>
    </row>
    <row r="80" spans="1:13" x14ac:dyDescent="0.3">
      <c r="A80" s="38">
        <v>46037</v>
      </c>
      <c r="B80" s="43">
        <v>3.2599999999999996E-4</v>
      </c>
      <c r="C80" s="43">
        <v>-2.1619999999999999E-3</v>
      </c>
      <c r="D80" s="43">
        <v>1.1082000000000002E-2</v>
      </c>
      <c r="E80" s="43">
        <v>-4.8809999999999999E-3</v>
      </c>
      <c r="F80" s="43">
        <v>2.5800000000000003E-3</v>
      </c>
      <c r="G80" s="43">
        <v>3.186E-3</v>
      </c>
      <c r="H80" s="44">
        <f t="shared" si="9"/>
        <v>1.1052000000000018E-4</v>
      </c>
      <c r="I80" s="48">
        <f t="shared" si="5"/>
        <v>-1.4091896500000003E-2</v>
      </c>
      <c r="J80" s="49">
        <f t="shared" si="6"/>
        <v>-77505.430750000014</v>
      </c>
      <c r="K80" s="48">
        <f t="shared" si="7"/>
        <v>-2.0165026666666665E-2</v>
      </c>
      <c r="L80" s="49">
        <f t="shared" si="8"/>
        <v>-110907.64666666665</v>
      </c>
      <c r="M80" s="45">
        <f t="shared" ca="1" si="10"/>
        <v>-3.7075896630387644E-4</v>
      </c>
    </row>
    <row r="81" spans="1:13" x14ac:dyDescent="0.3">
      <c r="A81" s="38">
        <v>46038</v>
      </c>
      <c r="B81" s="43">
        <v>-3.2040000000000003E-3</v>
      </c>
      <c r="C81" s="43">
        <v>-6.0440000000000008E-3</v>
      </c>
      <c r="D81" s="43">
        <v>-4.1196999999999998E-2</v>
      </c>
      <c r="E81" s="43">
        <v>1.225E-3</v>
      </c>
      <c r="F81" s="43">
        <v>-6.4199999999999988E-4</v>
      </c>
      <c r="G81" s="43">
        <v>-6.9700000000000003E-4</v>
      </c>
      <c r="H81" s="44">
        <f t="shared" si="9"/>
        <v>-6.918650000000001E-3</v>
      </c>
      <c r="I81" s="48">
        <f t="shared" si="5"/>
        <v>-1.4091896500000003E-2</v>
      </c>
      <c r="J81" s="49">
        <f t="shared" si="6"/>
        <v>-77505.430750000014</v>
      </c>
      <c r="K81" s="48">
        <f t="shared" si="7"/>
        <v>-2.0165026666666665E-2</v>
      </c>
      <c r="L81" s="49">
        <f t="shared" si="8"/>
        <v>-110907.64666666665</v>
      </c>
      <c r="M81" s="45">
        <f t="shared" ca="1" si="10"/>
        <v>-1.1106488456950761E-2</v>
      </c>
    </row>
    <row r="82" spans="1:13" x14ac:dyDescent="0.3">
      <c r="A82" s="38">
        <v>46041</v>
      </c>
      <c r="B82" s="43">
        <v>1.372E-3</v>
      </c>
      <c r="C82" s="43">
        <v>0</v>
      </c>
      <c r="D82" s="43">
        <v>0</v>
      </c>
      <c r="E82" s="43">
        <v>-6.6900000000000006E-3</v>
      </c>
      <c r="F82" s="43">
        <v>0</v>
      </c>
      <c r="G82" s="43">
        <v>0</v>
      </c>
      <c r="H82" s="44">
        <f t="shared" si="9"/>
        <v>-1.9560000000000001E-4</v>
      </c>
      <c r="I82" s="48">
        <f t="shared" si="5"/>
        <v>-1.4091896500000003E-2</v>
      </c>
      <c r="J82" s="49">
        <f t="shared" si="6"/>
        <v>-77505.430750000014</v>
      </c>
      <c r="K82" s="48">
        <f t="shared" si="7"/>
        <v>-2.0165026666666665E-2</v>
      </c>
      <c r="L82" s="49">
        <f t="shared" si="8"/>
        <v>-110907.64666666665</v>
      </c>
      <c r="M82" s="45">
        <f t="shared" ca="1" si="10"/>
        <v>-2.4472773559531816E-2</v>
      </c>
    </row>
    <row r="83" spans="1:13" x14ac:dyDescent="0.3">
      <c r="A83" s="38">
        <v>46042</v>
      </c>
      <c r="B83" s="43">
        <v>1.222E-3</v>
      </c>
      <c r="C83" s="43">
        <v>3.7311999999999998E-2</v>
      </c>
      <c r="D83" s="43">
        <v>6.9417000000000006E-2</v>
      </c>
      <c r="E83" s="43">
        <v>4.0749999999999996E-3</v>
      </c>
      <c r="F83" s="43">
        <v>-2.0627E-2</v>
      </c>
      <c r="G83" s="43">
        <v>-2.1218000000000001E-2</v>
      </c>
      <c r="H83" s="44">
        <f t="shared" si="9"/>
        <v>2.0831690000000003E-2</v>
      </c>
      <c r="I83" s="48">
        <f t="shared" si="5"/>
        <v>-1.4091896500000003E-2</v>
      </c>
      <c r="J83" s="49">
        <f t="shared" si="6"/>
        <v>-77505.430750000014</v>
      </c>
      <c r="K83" s="48">
        <f t="shared" si="7"/>
        <v>-2.0165026666666665E-2</v>
      </c>
      <c r="L83" s="49">
        <f t="shared" si="8"/>
        <v>-110907.64666666665</v>
      </c>
      <c r="M83" s="45">
        <f t="shared" ca="1" si="10"/>
        <v>1.1684570337864823E-2</v>
      </c>
    </row>
    <row r="84" spans="1:13" x14ac:dyDescent="0.3">
      <c r="A84" s="38">
        <v>46043</v>
      </c>
      <c r="B84" s="43">
        <v>7.6229999999999996E-3</v>
      </c>
      <c r="C84" s="43">
        <v>1.5168999999999998E-2</v>
      </c>
      <c r="D84" s="43">
        <v>-2.1187999999999999E-2</v>
      </c>
      <c r="E84" s="43">
        <v>-9.4999999999999992E-5</v>
      </c>
      <c r="F84" s="43">
        <v>1.1588000000000001E-2</v>
      </c>
      <c r="G84" s="43">
        <v>1.3567000000000001E-2</v>
      </c>
      <c r="H84" s="44">
        <f t="shared" si="9"/>
        <v>9.6746099999999984E-3</v>
      </c>
      <c r="I84" s="48">
        <f t="shared" si="5"/>
        <v>-1.1396100499999997E-2</v>
      </c>
      <c r="J84" s="49">
        <f t="shared" si="6"/>
        <v>-62678.552749999988</v>
      </c>
      <c r="K84" s="48">
        <f t="shared" si="7"/>
        <v>-2.0165026666666665E-2</v>
      </c>
      <c r="L84" s="49">
        <f t="shared" si="8"/>
        <v>-110907.64666666665</v>
      </c>
      <c r="M84" s="45">
        <f t="shared" ca="1" si="10"/>
        <v>1.516784951871447E-2</v>
      </c>
    </row>
    <row r="85" spans="1:13" x14ac:dyDescent="0.3">
      <c r="A85" s="38">
        <v>46044</v>
      </c>
      <c r="B85" s="43">
        <v>-4.6810000000000003E-3</v>
      </c>
      <c r="C85" s="43">
        <v>1.5935999999999999E-2</v>
      </c>
      <c r="D85" s="43">
        <v>4.0842000000000003E-2</v>
      </c>
      <c r="E85" s="43">
        <v>1.8590000000000002E-3</v>
      </c>
      <c r="F85" s="43">
        <v>5.4879999999999998E-3</v>
      </c>
      <c r="G85" s="43">
        <v>7.5719999999999997E-3</v>
      </c>
      <c r="H85" s="44">
        <f t="shared" si="9"/>
        <v>1.2089270000000001E-2</v>
      </c>
      <c r="I85" s="48">
        <f t="shared" si="5"/>
        <v>-1.1396100499999997E-2</v>
      </c>
      <c r="J85" s="49">
        <f t="shared" si="6"/>
        <v>-62678.552749999988</v>
      </c>
      <c r="K85" s="48">
        <f t="shared" si="7"/>
        <v>-2.0165026666666665E-2</v>
      </c>
      <c r="L85" s="49">
        <f t="shared" si="8"/>
        <v>-110907.64666666665</v>
      </c>
      <c r="M85" s="45">
        <f t="shared" ca="1" si="10"/>
        <v>-3.1347175380155162E-4</v>
      </c>
    </row>
    <row r="86" spans="1:13" x14ac:dyDescent="0.3">
      <c r="A86" s="38">
        <v>46045</v>
      </c>
      <c r="B86" s="43">
        <v>6.9940000000000002E-3</v>
      </c>
      <c r="C86" s="43">
        <v>1.3731E-2</v>
      </c>
      <c r="D86" s="43">
        <v>5.1565E-2</v>
      </c>
      <c r="E86" s="43">
        <v>2.8400000000000002E-4</v>
      </c>
      <c r="F86" s="43">
        <v>3.2699999999999998E-4</v>
      </c>
      <c r="G86" s="43">
        <v>3.4139999999999999E-3</v>
      </c>
      <c r="H86" s="44">
        <f t="shared" si="9"/>
        <v>1.2537380000000001E-2</v>
      </c>
      <c r="I86" s="48">
        <f t="shared" si="5"/>
        <v>-1.1396100499999997E-2</v>
      </c>
      <c r="J86" s="49">
        <f t="shared" si="6"/>
        <v>-62678.552749999988</v>
      </c>
      <c r="K86" s="48">
        <f t="shared" si="7"/>
        <v>-2.0165026666666665E-2</v>
      </c>
      <c r="L86" s="49">
        <f t="shared" si="8"/>
        <v>-110907.64666666665</v>
      </c>
      <c r="M86" s="45">
        <f t="shared" ca="1" si="10"/>
        <v>-1.0406466271526671E-2</v>
      </c>
    </row>
    <row r="87" spans="1:13" x14ac:dyDescent="0.3">
      <c r="A87" s="38">
        <v>46048</v>
      </c>
      <c r="B87" s="43">
        <v>8.8349999999999991E-3</v>
      </c>
      <c r="C87" s="43">
        <v>2.0798999999999998E-2</v>
      </c>
      <c r="D87" s="43">
        <v>0.14025299999999999</v>
      </c>
      <c r="E87" s="43">
        <v>-2.1040999999999997E-2</v>
      </c>
      <c r="F87" s="43">
        <v>5.006E-3</v>
      </c>
      <c r="G87" s="43">
        <v>4.2079999999999999E-3</v>
      </c>
      <c r="H87" s="44">
        <f t="shared" si="9"/>
        <v>2.2819899999999997E-2</v>
      </c>
      <c r="I87" s="48">
        <f t="shared" si="5"/>
        <v>-1.1396100499999997E-2</v>
      </c>
      <c r="J87" s="49">
        <f t="shared" si="6"/>
        <v>-62678.552749999988</v>
      </c>
      <c r="K87" s="48">
        <f t="shared" si="7"/>
        <v>-2.0165026666666665E-2</v>
      </c>
      <c r="L87" s="49">
        <f t="shared" si="8"/>
        <v>-110907.64666666665</v>
      </c>
      <c r="M87" s="45">
        <f t="shared" ca="1" si="10"/>
        <v>-3.6905794993685216E-3</v>
      </c>
    </row>
    <row r="88" spans="1:13" x14ac:dyDescent="0.3">
      <c r="A88" s="38">
        <v>46049</v>
      </c>
      <c r="B88" s="43">
        <v>1.5199999999999999E-3</v>
      </c>
      <c r="C88" s="43">
        <v>3.8999999999999999E-5</v>
      </c>
      <c r="D88" s="43">
        <v>-8.304700000000001E-2</v>
      </c>
      <c r="E88" s="43">
        <v>-5.3490000000000005E-3</v>
      </c>
      <c r="F88" s="43">
        <v>4.0819999999999997E-3</v>
      </c>
      <c r="G88" s="43">
        <v>8.8100000000000001E-3</v>
      </c>
      <c r="H88" s="44">
        <f t="shared" si="9"/>
        <v>-5.4748900000000022E-3</v>
      </c>
      <c r="I88" s="48">
        <f t="shared" si="5"/>
        <v>-1.1396100499999997E-2</v>
      </c>
      <c r="J88" s="49">
        <f t="shared" si="6"/>
        <v>-62678.552749999988</v>
      </c>
      <c r="K88" s="48">
        <f t="shared" si="7"/>
        <v>-2.0165026666666665E-2</v>
      </c>
      <c r="L88" s="49">
        <f t="shared" si="8"/>
        <v>-110907.64666666665</v>
      </c>
      <c r="M88" s="45">
        <f t="shared" ca="1" si="10"/>
        <v>1.0539146198378835E-3</v>
      </c>
    </row>
    <row r="89" spans="1:13" x14ac:dyDescent="0.3">
      <c r="A89" s="38">
        <v>46050</v>
      </c>
      <c r="B89" s="43">
        <v>1.1886000000000001E-2</v>
      </c>
      <c r="C89" s="43">
        <v>4.3643000000000001E-2</v>
      </c>
      <c r="D89" s="43">
        <v>7.1908E-2</v>
      </c>
      <c r="E89" s="43">
        <v>-1.2201E-2</v>
      </c>
      <c r="F89" s="43">
        <v>-8.2000000000000001E-5</v>
      </c>
      <c r="G89" s="43">
        <v>3.202E-3</v>
      </c>
      <c r="H89" s="44">
        <f t="shared" si="9"/>
        <v>2.9340570000000003E-2</v>
      </c>
      <c r="I89" s="48">
        <f t="shared" si="5"/>
        <v>-1.1396100499999997E-2</v>
      </c>
      <c r="J89" s="49">
        <f t="shared" si="6"/>
        <v>-62678.552749999988</v>
      </c>
      <c r="K89" s="48">
        <f t="shared" si="7"/>
        <v>-2.0165026666666665E-2</v>
      </c>
      <c r="L89" s="49">
        <f t="shared" si="8"/>
        <v>-110907.64666666665</v>
      </c>
      <c r="M89" s="45">
        <f t="shared" ca="1" si="10"/>
        <v>1.6195731236483472E-3</v>
      </c>
    </row>
    <row r="90" spans="1:13" x14ac:dyDescent="0.3">
      <c r="A90" s="38">
        <v>46051</v>
      </c>
      <c r="B90" s="43">
        <v>-3.3179999999999998E-3</v>
      </c>
      <c r="C90" s="43">
        <v>3.1689999999999999E-3</v>
      </c>
      <c r="D90" s="43">
        <v>8.1869999999999998E-3</v>
      </c>
      <c r="E90" s="43">
        <v>4.2180000000000004E-3</v>
      </c>
      <c r="F90" s="43">
        <v>-1.2929999999999999E-3</v>
      </c>
      <c r="G90" s="43">
        <v>-5.3220000000000003E-3</v>
      </c>
      <c r="H90" s="44">
        <f t="shared" si="9"/>
        <v>1.4053200000000005E-3</v>
      </c>
      <c r="I90" s="48">
        <f t="shared" si="5"/>
        <v>-8.0981469999999965E-3</v>
      </c>
      <c r="J90" s="49">
        <f t="shared" si="6"/>
        <v>-44539.808499999977</v>
      </c>
      <c r="K90" s="48">
        <f t="shared" si="7"/>
        <v>-2.0165026666666665E-2</v>
      </c>
      <c r="L90" s="49">
        <f t="shared" si="8"/>
        <v>-110907.64666666665</v>
      </c>
      <c r="M90" s="45">
        <f t="shared" ca="1" si="10"/>
        <v>-7.4174470033566342E-3</v>
      </c>
    </row>
    <row r="91" spans="1:13" x14ac:dyDescent="0.3">
      <c r="A91" s="38">
        <v>46052</v>
      </c>
      <c r="B91" s="43">
        <v>-1.005E-3</v>
      </c>
      <c r="C91" s="43">
        <v>-0.11366199999999999</v>
      </c>
      <c r="D91" s="43">
        <v>-0.31346800000000002</v>
      </c>
      <c r="E91" s="43">
        <v>4.3100000000000001E-4</v>
      </c>
      <c r="F91" s="43">
        <v>-4.3020000000000003E-3</v>
      </c>
      <c r="G91" s="43">
        <v>-1.2822999999999999E-2</v>
      </c>
      <c r="H91" s="44">
        <f t="shared" si="9"/>
        <v>-8.4797239999999982E-2</v>
      </c>
      <c r="I91" s="48">
        <f t="shared" si="5"/>
        <v>-1.44596575E-2</v>
      </c>
      <c r="J91" s="49">
        <f t="shared" si="6"/>
        <v>-79528.116250000006</v>
      </c>
      <c r="K91" s="48">
        <f t="shared" si="7"/>
        <v>-4.3626653333333328E-2</v>
      </c>
      <c r="L91" s="49">
        <f t="shared" si="8"/>
        <v>-239946.59333333329</v>
      </c>
      <c r="M91" s="45">
        <f t="shared" ca="1" si="10"/>
        <v>1.5614801417824157E-3</v>
      </c>
    </row>
    <row r="92" spans="1:13" x14ac:dyDescent="0.3">
      <c r="A92" s="38">
        <v>46055</v>
      </c>
      <c r="B92" s="43">
        <v>-9.7400000000000004E-3</v>
      </c>
      <c r="C92" s="43">
        <v>-1.9389E-2</v>
      </c>
      <c r="D92" s="43">
        <v>-1.9313E-2</v>
      </c>
      <c r="E92" s="43">
        <v>1.3319000000000001E-2</v>
      </c>
      <c r="F92" s="43">
        <v>5.391E-3</v>
      </c>
      <c r="G92" s="43">
        <v>7.2880000000000002E-3</v>
      </c>
      <c r="H92" s="44">
        <f t="shared" si="9"/>
        <v>-1.0846360000000003E-2</v>
      </c>
      <c r="I92" s="48">
        <f t="shared" si="5"/>
        <v>-1.44596575E-2</v>
      </c>
      <c r="J92" s="49">
        <f t="shared" si="6"/>
        <v>-79528.116250000006</v>
      </c>
      <c r="K92" s="48">
        <f t="shared" si="7"/>
        <v>-4.3626653333333328E-2</v>
      </c>
      <c r="L92" s="49">
        <f t="shared" si="8"/>
        <v>-239946.59333333329</v>
      </c>
      <c r="M92" s="45">
        <f t="shared" ca="1" si="10"/>
        <v>4.3598000870487593E-3</v>
      </c>
    </row>
    <row r="93" spans="1:13" x14ac:dyDescent="0.3">
      <c r="A93" s="38">
        <v>46056</v>
      </c>
      <c r="B93" s="43">
        <v>-4.2589999999999998E-3</v>
      </c>
      <c r="C93" s="43">
        <v>6.0833000000000005E-2</v>
      </c>
      <c r="D93" s="43">
        <v>8.1585999999999992E-2</v>
      </c>
      <c r="E93" s="43">
        <v>1.5529999999999999E-3</v>
      </c>
      <c r="F93" s="43">
        <v>-8.404E-3</v>
      </c>
      <c r="G93" s="43">
        <v>-1.554E-2</v>
      </c>
      <c r="H93" s="44">
        <f t="shared" si="9"/>
        <v>3.4683000000000005E-2</v>
      </c>
      <c r="I93" s="48">
        <f t="shared" si="5"/>
        <v>-1.44596575E-2</v>
      </c>
      <c r="J93" s="49">
        <f t="shared" si="6"/>
        <v>-79528.116250000006</v>
      </c>
      <c r="K93" s="48">
        <f t="shared" si="7"/>
        <v>-4.3626653333333328E-2</v>
      </c>
      <c r="L93" s="49">
        <f t="shared" si="8"/>
        <v>-239946.59333333329</v>
      </c>
      <c r="M93" s="45">
        <f t="shared" ca="1" si="10"/>
        <v>1.2219882075968056E-2</v>
      </c>
    </row>
    <row r="94" spans="1:13" x14ac:dyDescent="0.3">
      <c r="A94" s="38">
        <v>46057</v>
      </c>
      <c r="B94" s="43">
        <v>1.477E-3</v>
      </c>
      <c r="C94" s="43">
        <v>3.4060000000000002E-3</v>
      </c>
      <c r="D94" s="43">
        <v>1.3523E-2</v>
      </c>
      <c r="E94" s="43">
        <v>2.2899999999999999E-3</v>
      </c>
      <c r="F94" s="43">
        <v>-5.0720000000000001E-3</v>
      </c>
      <c r="G94" s="43">
        <v>-1.7656000000000002E-2</v>
      </c>
      <c r="H94" s="44">
        <f t="shared" si="9"/>
        <v>1.0308900000000002E-3</v>
      </c>
      <c r="I94" s="48">
        <f t="shared" si="5"/>
        <v>-1.44596575E-2</v>
      </c>
      <c r="J94" s="49">
        <f t="shared" si="6"/>
        <v>-79528.116250000006</v>
      </c>
      <c r="K94" s="48">
        <f t="shared" si="7"/>
        <v>-4.3626653333333328E-2</v>
      </c>
      <c r="L94" s="49">
        <f t="shared" si="8"/>
        <v>-239946.59333333329</v>
      </c>
      <c r="M94" s="45">
        <f t="shared" ca="1" si="10"/>
        <v>2.1046735429069149E-2</v>
      </c>
    </row>
    <row r="95" spans="1:13" x14ac:dyDescent="0.3">
      <c r="A95" s="38">
        <v>46058</v>
      </c>
      <c r="B95" s="43">
        <v>-1.227E-3</v>
      </c>
      <c r="C95" s="43">
        <v>-1.1991E-2</v>
      </c>
      <c r="D95" s="43">
        <v>-9.0726999999999988E-2</v>
      </c>
      <c r="E95" s="43">
        <v>7.1760000000000001E-3</v>
      </c>
      <c r="F95" s="43">
        <v>-1.2251000000000001E-2</v>
      </c>
      <c r="G95" s="43">
        <v>-1.3762000000000002E-2</v>
      </c>
      <c r="H95" s="44">
        <f t="shared" si="9"/>
        <v>-1.5713250000000002E-2</v>
      </c>
      <c r="I95" s="48">
        <f t="shared" si="5"/>
        <v>-1.5376057E-2</v>
      </c>
      <c r="J95" s="49">
        <f t="shared" si="6"/>
        <v>-84568.313500000004</v>
      </c>
      <c r="K95" s="48">
        <f t="shared" si="7"/>
        <v>-4.3744966666666663E-2</v>
      </c>
      <c r="L95" s="49">
        <f t="shared" si="8"/>
        <v>-240597.31666666665</v>
      </c>
      <c r="M95" s="45">
        <f t="shared" ca="1" si="10"/>
        <v>1.63834465249817E-2</v>
      </c>
    </row>
    <row r="96" spans="1:13" x14ac:dyDescent="0.3">
      <c r="A96" s="38">
        <v>46059</v>
      </c>
      <c r="B96" s="43">
        <v>-2.0140000000000002E-3</v>
      </c>
      <c r="C96" s="43">
        <v>1.8471999999999999E-2</v>
      </c>
      <c r="D96" s="43">
        <v>2.6919999999999999E-3</v>
      </c>
      <c r="E96" s="43">
        <v>-8.4800000000000001E-4</v>
      </c>
      <c r="F96" s="43">
        <v>1.9696000000000002E-2</v>
      </c>
      <c r="G96" s="43">
        <v>2.1471000000000001E-2</v>
      </c>
      <c r="H96" s="44">
        <f t="shared" si="9"/>
        <v>1.338205E-2</v>
      </c>
      <c r="I96" s="48">
        <f t="shared" si="5"/>
        <v>-1.5376057E-2</v>
      </c>
      <c r="J96" s="49">
        <f t="shared" si="6"/>
        <v>-84568.313500000004</v>
      </c>
      <c r="K96" s="48">
        <f t="shared" si="7"/>
        <v>-4.3744966666666663E-2</v>
      </c>
      <c r="L96" s="49">
        <f t="shared" si="8"/>
        <v>-240597.31666666665</v>
      </c>
      <c r="M96" s="45">
        <f t="shared" ca="1" si="10"/>
        <v>-7.1958380870815663E-3</v>
      </c>
    </row>
    <row r="97" spans="1:13" x14ac:dyDescent="0.3">
      <c r="A97" s="38">
        <v>46062</v>
      </c>
      <c r="B97" s="43">
        <v>4.0679999999999996E-3</v>
      </c>
      <c r="C97" s="43">
        <v>2.0135999999999998E-2</v>
      </c>
      <c r="D97" s="43">
        <v>6.9459999999999994E-2</v>
      </c>
      <c r="E97" s="43">
        <v>2.934E-3</v>
      </c>
      <c r="F97" s="43">
        <v>4.6909999999999999E-3</v>
      </c>
      <c r="G97" s="43">
        <v>7.672E-3</v>
      </c>
      <c r="H97" s="44">
        <f t="shared" si="9"/>
        <v>1.7818889999999997E-2</v>
      </c>
      <c r="I97" s="48">
        <f t="shared" si="5"/>
        <v>-1.5376057E-2</v>
      </c>
      <c r="J97" s="49">
        <f t="shared" si="6"/>
        <v>-84568.313500000004</v>
      </c>
      <c r="K97" s="48">
        <f t="shared" si="7"/>
        <v>-4.3744966666666663E-2</v>
      </c>
      <c r="L97" s="49">
        <f t="shared" si="8"/>
        <v>-240597.31666666665</v>
      </c>
      <c r="M97" s="45">
        <f t="shared" ca="1" si="10"/>
        <v>2.8342227896992613E-2</v>
      </c>
    </row>
    <row r="98" spans="1:13" x14ac:dyDescent="0.3">
      <c r="A98" s="38">
        <v>46063</v>
      </c>
      <c r="B98" s="43">
        <v>6.6190000000000008E-3</v>
      </c>
      <c r="C98" s="43">
        <v>-9.325E-3</v>
      </c>
      <c r="D98" s="43">
        <v>-2.2507000000000003E-2</v>
      </c>
      <c r="E98" s="43">
        <v>-7.0720000000000002E-3</v>
      </c>
      <c r="F98" s="43">
        <v>-3.3040000000000001E-3</v>
      </c>
      <c r="G98" s="43">
        <v>-5.5600000000000007E-3</v>
      </c>
      <c r="H98" s="44">
        <f t="shared" si="9"/>
        <v>-6.851620000000001E-3</v>
      </c>
      <c r="I98" s="48">
        <f t="shared" si="5"/>
        <v>-1.4477404500000001E-2</v>
      </c>
      <c r="J98" s="49">
        <f t="shared" si="6"/>
        <v>-79625.724750000008</v>
      </c>
      <c r="K98" s="48">
        <f t="shared" si="7"/>
        <v>-4.3744966666666663E-2</v>
      </c>
      <c r="L98" s="49">
        <f t="shared" si="8"/>
        <v>-240597.31666666665</v>
      </c>
      <c r="M98" s="45">
        <f t="shared" ca="1" si="10"/>
        <v>-5.3167508527100843E-3</v>
      </c>
    </row>
    <row r="99" spans="1:13" x14ac:dyDescent="0.3">
      <c r="A99" s="38">
        <v>46064</v>
      </c>
      <c r="B99" s="43">
        <v>-1.2130000000000001E-3</v>
      </c>
      <c r="C99" s="43">
        <v>1.355E-2</v>
      </c>
      <c r="D99" s="43">
        <v>4.4080000000000001E-2</v>
      </c>
      <c r="E99" s="43">
        <v>-1.0567999999999999E-2</v>
      </c>
      <c r="F99" s="43">
        <v>-4.8999999999999998E-5</v>
      </c>
      <c r="G99" s="43">
        <v>2.9299999999999999E-3</v>
      </c>
      <c r="H99" s="44">
        <f t="shared" si="9"/>
        <v>9.8791800000000013E-3</v>
      </c>
      <c r="I99" s="48">
        <f t="shared" si="5"/>
        <v>-1.4477404500000001E-2</v>
      </c>
      <c r="J99" s="49">
        <f t="shared" si="6"/>
        <v>-79625.724750000008</v>
      </c>
      <c r="K99" s="48">
        <f t="shared" si="7"/>
        <v>-4.3744966666666663E-2</v>
      </c>
      <c r="L99" s="49">
        <f t="shared" si="8"/>
        <v>-240597.31666666665</v>
      </c>
      <c r="M99" s="45">
        <f t="shared" ca="1" si="10"/>
        <v>3.0896112908241628E-2</v>
      </c>
    </row>
    <row r="100" spans="1:13" x14ac:dyDescent="0.3">
      <c r="A100" s="38">
        <v>46065</v>
      </c>
      <c r="B100" s="43">
        <v>-1.14E-3</v>
      </c>
      <c r="C100" s="43">
        <v>-2.9162E-2</v>
      </c>
      <c r="D100" s="43">
        <v>-9.8001000000000005E-2</v>
      </c>
      <c r="E100" s="43">
        <v>-7.8519999999999996E-3</v>
      </c>
      <c r="F100" s="43">
        <v>-1.5661000000000001E-2</v>
      </c>
      <c r="G100" s="43">
        <v>-2.0381999999999997E-2</v>
      </c>
      <c r="H100" s="44">
        <f t="shared" si="9"/>
        <v>-2.6911909999999997E-2</v>
      </c>
      <c r="I100" s="48">
        <f t="shared" si="5"/>
        <v>-1.6273183E-2</v>
      </c>
      <c r="J100" s="49">
        <f t="shared" si="6"/>
        <v>-89502.506500000003</v>
      </c>
      <c r="K100" s="48">
        <f t="shared" si="7"/>
        <v>-4.747785333333332E-2</v>
      </c>
      <c r="L100" s="49">
        <f t="shared" si="8"/>
        <v>-261128.19333333327</v>
      </c>
      <c r="M100" s="45">
        <f t="shared" ca="1" si="10"/>
        <v>-4.893378346476903E-3</v>
      </c>
    </row>
    <row r="101" spans="1:13" x14ac:dyDescent="0.3">
      <c r="A101" s="38">
        <v>46066</v>
      </c>
      <c r="B101" s="43">
        <v>-6.4100000000000008E-4</v>
      </c>
      <c r="C101" s="43">
        <v>1.9965E-2</v>
      </c>
      <c r="D101" s="43">
        <v>3.0511E-2</v>
      </c>
      <c r="E101" s="43">
        <v>-2.9230000000000003E-3</v>
      </c>
      <c r="F101" s="43">
        <v>4.9899999999999999E-4</v>
      </c>
      <c r="G101" s="43">
        <v>1.828E-3</v>
      </c>
      <c r="H101" s="44">
        <f t="shared" si="9"/>
        <v>1.2570910000000001E-2</v>
      </c>
      <c r="I101" s="48">
        <f t="shared" si="5"/>
        <v>-1.6273183E-2</v>
      </c>
      <c r="J101" s="49">
        <f t="shared" si="6"/>
        <v>-89502.506500000003</v>
      </c>
      <c r="K101" s="48">
        <f t="shared" si="7"/>
        <v>-4.747785333333332E-2</v>
      </c>
      <c r="L101" s="49">
        <f t="shared" si="8"/>
        <v>-261128.19333333327</v>
      </c>
      <c r="M101" s="45">
        <f t="shared" ca="1" si="10"/>
        <v>-1.6969298079203065E-2</v>
      </c>
    </row>
    <row r="102" spans="1:13" x14ac:dyDescent="0.3">
      <c r="A102" s="38">
        <v>46069</v>
      </c>
      <c r="B102" s="43">
        <v>-8.2999999999999998E-5</v>
      </c>
      <c r="C102" s="43">
        <v>0</v>
      </c>
      <c r="D102" s="43">
        <v>0</v>
      </c>
      <c r="E102" s="43">
        <v>-2.7500000000000002E-4</v>
      </c>
      <c r="F102" s="43">
        <v>0</v>
      </c>
      <c r="G102" s="43">
        <v>0</v>
      </c>
      <c r="H102" s="44">
        <f t="shared" si="9"/>
        <v>-2.8949999999999999E-5</v>
      </c>
      <c r="I102" s="48">
        <f t="shared" si="5"/>
        <v>-1.6273183E-2</v>
      </c>
      <c r="J102" s="49">
        <f t="shared" si="6"/>
        <v>-89502.506500000003</v>
      </c>
      <c r="K102" s="48">
        <f t="shared" si="7"/>
        <v>-4.747785333333332E-2</v>
      </c>
      <c r="L102" s="49">
        <f t="shared" si="8"/>
        <v>-261128.19333333327</v>
      </c>
      <c r="M102" s="45">
        <f t="shared" ca="1" si="10"/>
        <v>2.6454636357687179E-3</v>
      </c>
    </row>
    <row r="103" spans="1:13" x14ac:dyDescent="0.3">
      <c r="A103" s="38">
        <v>46070</v>
      </c>
      <c r="B103" s="43">
        <v>-1.4810000000000001E-3</v>
      </c>
      <c r="C103" s="43">
        <v>-2.7698E-2</v>
      </c>
      <c r="D103" s="43">
        <v>-5.6570000000000002E-2</v>
      </c>
      <c r="E103" s="43">
        <v>5.4330000000000003E-3</v>
      </c>
      <c r="F103" s="43">
        <v>1.031E-3</v>
      </c>
      <c r="G103" s="43">
        <v>-1.2590000000000001E-3</v>
      </c>
      <c r="H103" s="44">
        <f t="shared" si="9"/>
        <v>-1.8547649999999999E-2</v>
      </c>
      <c r="I103" s="48">
        <f t="shared" si="5"/>
        <v>-1.8965862999999999E-2</v>
      </c>
      <c r="J103" s="49">
        <f t="shared" si="6"/>
        <v>-104312.24649999999</v>
      </c>
      <c r="K103" s="48">
        <f t="shared" si="7"/>
        <v>-4.747785333333332E-2</v>
      </c>
      <c r="L103" s="49">
        <f t="shared" si="8"/>
        <v>-261128.19333333327</v>
      </c>
      <c r="M103" s="45">
        <f t="shared" ca="1" si="10"/>
        <v>-5.9363644184212026E-3</v>
      </c>
    </row>
    <row r="104" spans="1:13" x14ac:dyDescent="0.3">
      <c r="A104" s="38">
        <v>46071</v>
      </c>
      <c r="B104" s="43">
        <v>1.66E-4</v>
      </c>
      <c r="C104" s="43">
        <v>2.1217E-2</v>
      </c>
      <c r="D104" s="43">
        <v>5.5305E-2</v>
      </c>
      <c r="E104" s="43">
        <v>-2.9949999999999998E-3</v>
      </c>
      <c r="F104" s="43">
        <v>5.5659999999999998E-3</v>
      </c>
      <c r="G104" s="43">
        <v>7.986E-3</v>
      </c>
      <c r="H104" s="44">
        <f t="shared" si="9"/>
        <v>1.6421269999999998E-2</v>
      </c>
      <c r="I104" s="48">
        <f t="shared" si="5"/>
        <v>-1.8965862999999999E-2</v>
      </c>
      <c r="J104" s="49">
        <f t="shared" si="6"/>
        <v>-104312.24649999999</v>
      </c>
      <c r="K104" s="48">
        <f t="shared" si="7"/>
        <v>-4.747785333333332E-2</v>
      </c>
      <c r="L104" s="49">
        <f t="shared" si="8"/>
        <v>-261128.19333333327</v>
      </c>
      <c r="M104" s="45">
        <f t="shared" ca="1" si="10"/>
        <v>-3.1511088059772933E-3</v>
      </c>
    </row>
    <row r="105" spans="1:13" x14ac:dyDescent="0.3">
      <c r="A105" s="38">
        <v>46072</v>
      </c>
      <c r="B105" s="43">
        <v>-5.3169999999999997E-3</v>
      </c>
      <c r="C105" s="43">
        <v>-2.1260000000000003E-3</v>
      </c>
      <c r="D105" s="43">
        <v>7.2199999999999999E-4</v>
      </c>
      <c r="E105" s="43">
        <v>1.0082000000000001E-2</v>
      </c>
      <c r="F105" s="43">
        <v>-2.8219999999999999E-3</v>
      </c>
      <c r="G105" s="43">
        <v>-4.078E-3</v>
      </c>
      <c r="H105" s="44">
        <f t="shared" si="9"/>
        <v>-1.8965700000000002E-3</v>
      </c>
      <c r="I105" s="48">
        <f t="shared" si="5"/>
        <v>-1.8965862999999999E-2</v>
      </c>
      <c r="J105" s="49">
        <f t="shared" si="6"/>
        <v>-104312.24649999999</v>
      </c>
      <c r="K105" s="48">
        <f t="shared" si="7"/>
        <v>-4.747785333333332E-2</v>
      </c>
      <c r="L105" s="49">
        <f t="shared" si="8"/>
        <v>-261128.19333333327</v>
      </c>
      <c r="M105" s="45">
        <f t="shared" ca="1" si="10"/>
        <v>2.3737818155079193E-2</v>
      </c>
    </row>
    <row r="106" spans="1:13" x14ac:dyDescent="0.3">
      <c r="A106" s="38">
        <v>46073</v>
      </c>
      <c r="B106" s="43">
        <v>-1.671E-3</v>
      </c>
      <c r="C106" s="43">
        <v>1.6760999999999998E-2</v>
      </c>
      <c r="D106" s="43">
        <v>6.0826000000000005E-2</v>
      </c>
      <c r="E106" s="43">
        <v>3.019E-3</v>
      </c>
      <c r="F106" s="43">
        <v>6.9399999999999991E-3</v>
      </c>
      <c r="G106" s="43">
        <v>8.6820000000000005E-3</v>
      </c>
      <c r="H106" s="44">
        <f t="shared" si="9"/>
        <v>1.488946E-2</v>
      </c>
      <c r="I106" s="48">
        <f t="shared" si="5"/>
        <v>-1.8965862999999999E-2</v>
      </c>
      <c r="J106" s="49">
        <f t="shared" si="6"/>
        <v>-104312.24649999999</v>
      </c>
      <c r="K106" s="48">
        <f t="shared" si="7"/>
        <v>-4.747785333333332E-2</v>
      </c>
      <c r="L106" s="49">
        <f t="shared" si="8"/>
        <v>-261128.19333333327</v>
      </c>
      <c r="M106" s="45">
        <f t="shared" ca="1" si="10"/>
        <v>-7.3768327876440028E-3</v>
      </c>
    </row>
    <row r="107" spans="1:13" x14ac:dyDescent="0.3">
      <c r="A107" s="38">
        <v>46076</v>
      </c>
      <c r="B107" s="43">
        <v>5.574E-3</v>
      </c>
      <c r="C107" s="43">
        <v>2.8739000000000001E-2</v>
      </c>
      <c r="D107" s="43">
        <v>5.1529999999999992E-2</v>
      </c>
      <c r="E107" s="43">
        <v>-5.2910000000000006E-3</v>
      </c>
      <c r="F107" s="43">
        <v>-1.0385999999999999E-2</v>
      </c>
      <c r="G107" s="43">
        <v>-1.2140999999999999E-2</v>
      </c>
      <c r="H107" s="44">
        <f t="shared" si="9"/>
        <v>1.706278E-2</v>
      </c>
      <c r="I107" s="48">
        <f t="shared" si="5"/>
        <v>-1.8965862999999999E-2</v>
      </c>
      <c r="J107" s="49">
        <f t="shared" si="6"/>
        <v>-104312.24649999999</v>
      </c>
      <c r="K107" s="48">
        <f t="shared" si="7"/>
        <v>-4.747785333333332E-2</v>
      </c>
      <c r="L107" s="49">
        <f t="shared" si="8"/>
        <v>-261128.19333333327</v>
      </c>
      <c r="M107" s="45">
        <f t="shared" ca="1" si="10"/>
        <v>1.6584996241516467E-3</v>
      </c>
    </row>
    <row r="108" spans="1:13" x14ac:dyDescent="0.3">
      <c r="A108" s="38">
        <v>46077</v>
      </c>
      <c r="B108" s="43">
        <v>-3.4560000000000003E-3</v>
      </c>
      <c r="C108" s="43">
        <v>-9.3950000000000006E-3</v>
      </c>
      <c r="D108" s="43">
        <v>1.0794999999999999E-2</v>
      </c>
      <c r="E108" s="43">
        <v>1.918E-3</v>
      </c>
      <c r="F108" s="43">
        <v>7.6519999999999999E-3</v>
      </c>
      <c r="G108" s="43">
        <v>1.085E-2</v>
      </c>
      <c r="H108" s="44">
        <f t="shared" si="9"/>
        <v>-2.5129499999999999E-3</v>
      </c>
      <c r="I108" s="48">
        <f t="shared" si="5"/>
        <v>-1.8965862999999999E-2</v>
      </c>
      <c r="J108" s="49">
        <f t="shared" si="6"/>
        <v>-104312.24649999999</v>
      </c>
      <c r="K108" s="48">
        <f t="shared" si="7"/>
        <v>-4.747785333333332E-2</v>
      </c>
      <c r="L108" s="49">
        <f t="shared" si="8"/>
        <v>-261128.19333333327</v>
      </c>
      <c r="M108" s="45">
        <f t="shared" ca="1" si="10"/>
        <v>-1.1685035360870118E-4</v>
      </c>
    </row>
    <row r="109" spans="1:13" x14ac:dyDescent="0.3">
      <c r="A109" s="38">
        <v>46078</v>
      </c>
      <c r="B109" s="43">
        <v>-1.578E-3</v>
      </c>
      <c r="C109" s="43">
        <v>9.8139999999999998E-3</v>
      </c>
      <c r="D109" s="43">
        <v>3.9813999999999995E-2</v>
      </c>
      <c r="E109" s="43">
        <v>8.0510000000000009E-3</v>
      </c>
      <c r="F109" s="43">
        <v>8.1359999999999991E-3</v>
      </c>
      <c r="G109" s="43">
        <v>1.4093E-2</v>
      </c>
      <c r="H109" s="44">
        <f t="shared" si="9"/>
        <v>1.0599949999999999E-2</v>
      </c>
      <c r="I109" s="48">
        <f t="shared" si="5"/>
        <v>-1.8965862999999999E-2</v>
      </c>
      <c r="J109" s="49">
        <f t="shared" si="6"/>
        <v>-104312.24649999999</v>
      </c>
      <c r="K109" s="48">
        <f t="shared" si="7"/>
        <v>-4.747785333333332E-2</v>
      </c>
      <c r="L109" s="49">
        <f t="shared" si="8"/>
        <v>-261128.19333333327</v>
      </c>
      <c r="M109" s="45">
        <f t="shared" ca="1" si="10"/>
        <v>-2.9364880190345232E-3</v>
      </c>
    </row>
    <row r="110" spans="1:13" x14ac:dyDescent="0.3">
      <c r="A110" s="38">
        <v>46079</v>
      </c>
      <c r="B110" s="43">
        <v>3.3909999999999999E-3</v>
      </c>
      <c r="C110" s="43">
        <v>-5.7430000000000007E-3</v>
      </c>
      <c r="D110" s="43">
        <v>-4.3337000000000001E-2</v>
      </c>
      <c r="E110" s="43">
        <v>2.0530000000000001E-3</v>
      </c>
      <c r="F110" s="43">
        <v>-5.3659999999999992E-3</v>
      </c>
      <c r="G110" s="43">
        <v>-1.1634E-2</v>
      </c>
      <c r="H110" s="44">
        <f t="shared" si="9"/>
        <v>-7.4013800000000008E-3</v>
      </c>
      <c r="I110" s="48">
        <f t="shared" si="5"/>
        <v>-1.8965862999999999E-2</v>
      </c>
      <c r="J110" s="49">
        <f t="shared" si="6"/>
        <v>-104312.24649999999</v>
      </c>
      <c r="K110" s="48">
        <f t="shared" si="7"/>
        <v>-4.747785333333332E-2</v>
      </c>
      <c r="L110" s="49">
        <f t="shared" si="8"/>
        <v>-261128.19333333327</v>
      </c>
      <c r="M110" s="45">
        <f t="shared" ca="1" si="10"/>
        <v>-2.1562356835011154E-3</v>
      </c>
    </row>
    <row r="111" spans="1:13" x14ac:dyDescent="0.3">
      <c r="A111" s="38">
        <v>46080</v>
      </c>
      <c r="B111" s="43">
        <v>-1.0269999999999999E-3</v>
      </c>
      <c r="C111" s="43">
        <v>1.0431999999999999E-2</v>
      </c>
      <c r="D111" s="43">
        <v>6.5335000000000004E-2</v>
      </c>
      <c r="E111" s="43">
        <v>-2.183E-3</v>
      </c>
      <c r="F111" s="43">
        <v>-4.339E-3</v>
      </c>
      <c r="G111" s="43">
        <v>-2.9689999999999999E-3</v>
      </c>
      <c r="H111" s="44">
        <f t="shared" si="9"/>
        <v>9.5175899999999994E-3</v>
      </c>
      <c r="I111" s="48">
        <f t="shared" si="5"/>
        <v>-1.8965862999999999E-2</v>
      </c>
      <c r="J111" s="49">
        <f t="shared" si="6"/>
        <v>-104312.24649999999</v>
      </c>
      <c r="K111" s="48">
        <f t="shared" si="7"/>
        <v>-4.747785333333332E-2</v>
      </c>
      <c r="L111" s="49">
        <f t="shared" si="8"/>
        <v>-261128.19333333327</v>
      </c>
      <c r="M111" s="45">
        <f t="shared" ca="1" si="10"/>
        <v>9.1777014597807082E-3</v>
      </c>
    </row>
    <row r="112" spans="1:13" x14ac:dyDescent="0.3">
      <c r="A112" s="38">
        <v>46083</v>
      </c>
      <c r="B112" s="43">
        <v>-3.6919999999999995E-3</v>
      </c>
      <c r="C112" s="43">
        <v>1.2217E-2</v>
      </c>
      <c r="D112" s="43">
        <v>-4.7453000000000002E-2</v>
      </c>
      <c r="E112" s="43">
        <v>4.9659999999999999E-3</v>
      </c>
      <c r="F112" s="43">
        <v>3.9800000000000002E-4</v>
      </c>
      <c r="G112" s="43">
        <v>1.305E-3</v>
      </c>
      <c r="H112" s="44">
        <f t="shared" si="9"/>
        <v>2.3398200000000003E-3</v>
      </c>
      <c r="I112" s="48">
        <f t="shared" si="5"/>
        <v>-1.8965862999999999E-2</v>
      </c>
      <c r="J112" s="49">
        <f t="shared" si="6"/>
        <v>-104312.24649999999</v>
      </c>
      <c r="K112" s="48">
        <f t="shared" si="7"/>
        <v>-4.747785333333332E-2</v>
      </c>
      <c r="L112" s="49">
        <f t="shared" si="8"/>
        <v>-261128.19333333327</v>
      </c>
      <c r="M112" s="45">
        <f t="shared" ca="1" si="10"/>
        <v>-7.5448407454545884E-3</v>
      </c>
    </row>
    <row r="113" spans="1:13" x14ac:dyDescent="0.3">
      <c r="A113" s="38">
        <v>46084</v>
      </c>
      <c r="B113" s="43">
        <v>-5.2869999999999992E-3</v>
      </c>
      <c r="C113" s="43">
        <v>-3.5319999999999997E-2</v>
      </c>
      <c r="D113" s="43">
        <v>-6.0724E-2</v>
      </c>
      <c r="E113" s="43">
        <v>3.9839999999999997E-3</v>
      </c>
      <c r="F113" s="43">
        <v>-9.444000000000001E-3</v>
      </c>
      <c r="G113" s="43">
        <v>-1.0904E-2</v>
      </c>
      <c r="H113" s="44">
        <f t="shared" si="9"/>
        <v>-2.5445329999999999E-2</v>
      </c>
      <c r="I113" s="48">
        <f t="shared" si="5"/>
        <v>-2.5518658999999999E-2</v>
      </c>
      <c r="J113" s="49">
        <f t="shared" si="6"/>
        <v>-140352.62450000001</v>
      </c>
      <c r="K113" s="48">
        <f t="shared" si="7"/>
        <v>-4.747785333333332E-2</v>
      </c>
      <c r="L113" s="49">
        <f t="shared" si="8"/>
        <v>-261128.19333333327</v>
      </c>
      <c r="M113" s="45">
        <f t="shared" ca="1" si="10"/>
        <v>2.5028391382220048E-3</v>
      </c>
    </row>
    <row r="114" spans="1:13" x14ac:dyDescent="0.3">
      <c r="A114" s="38">
        <v>46085</v>
      </c>
      <c r="B114" s="43">
        <v>-7.2690000000000003E-3</v>
      </c>
      <c r="C114" s="43">
        <v>2.506E-3</v>
      </c>
      <c r="D114" s="43">
        <v>-3.4970000000000001E-3</v>
      </c>
      <c r="E114" s="43">
        <v>3.2810000000000001E-3</v>
      </c>
      <c r="F114" s="43">
        <v>7.7559999999999999E-3</v>
      </c>
      <c r="G114" s="43">
        <v>1.5113000000000001E-2</v>
      </c>
      <c r="H114" s="44">
        <f t="shared" si="9"/>
        <v>2.3181400000000002E-3</v>
      </c>
      <c r="I114" s="48">
        <f t="shared" si="5"/>
        <v>-2.5518658999999999E-2</v>
      </c>
      <c r="J114" s="49">
        <f t="shared" si="6"/>
        <v>-140352.62450000001</v>
      </c>
      <c r="K114" s="48">
        <f t="shared" si="7"/>
        <v>-4.747785333333332E-2</v>
      </c>
      <c r="L114" s="49">
        <f t="shared" si="8"/>
        <v>-261128.19333333327</v>
      </c>
      <c r="M114" s="45">
        <f t="shared" ca="1" si="10"/>
        <v>-8.6725656438170901E-3</v>
      </c>
    </row>
    <row r="115" spans="1:13" x14ac:dyDescent="0.3">
      <c r="A115" s="38">
        <v>46086</v>
      </c>
      <c r="B115" s="43">
        <v>2.013E-3</v>
      </c>
      <c r="C115" s="43">
        <v>-1.0722000000000001E-2</v>
      </c>
      <c r="D115" s="43">
        <v>-1.1448E-2</v>
      </c>
      <c r="E115" s="43">
        <v>-5.0070000000000002E-3</v>
      </c>
      <c r="F115" s="43">
        <v>-5.6470000000000001E-3</v>
      </c>
      <c r="G115" s="43">
        <v>-2.9199999999999999E-3</v>
      </c>
      <c r="H115" s="44">
        <f t="shared" si="9"/>
        <v>-7.2665000000000004E-3</v>
      </c>
      <c r="I115" s="48">
        <f t="shared" si="5"/>
        <v>-2.5518658999999999E-2</v>
      </c>
      <c r="J115" s="49">
        <f t="shared" si="6"/>
        <v>-140352.62450000001</v>
      </c>
      <c r="K115" s="48">
        <f t="shared" si="7"/>
        <v>-4.747785333333332E-2</v>
      </c>
      <c r="L115" s="49">
        <f t="shared" si="8"/>
        <v>-261128.19333333327</v>
      </c>
      <c r="M115" s="45">
        <f t="shared" ca="1" si="10"/>
        <v>3.1177698569698032E-2</v>
      </c>
    </row>
    <row r="116" spans="1:13" x14ac:dyDescent="0.3">
      <c r="A116" s="38">
        <v>46087</v>
      </c>
      <c r="B116" s="43">
        <v>-2.3680000000000003E-3</v>
      </c>
      <c r="C116" s="43">
        <v>1.5952000000000001E-2</v>
      </c>
      <c r="D116" s="43">
        <v>2.6062999999999999E-2</v>
      </c>
      <c r="E116" s="43">
        <v>3.5099999999999997E-3</v>
      </c>
      <c r="F116" s="43">
        <v>-1.3277000000000001E-2</v>
      </c>
      <c r="G116" s="43">
        <v>-1.5082999999999999E-2</v>
      </c>
      <c r="H116" s="44">
        <f t="shared" si="9"/>
        <v>7.2580200000000004E-3</v>
      </c>
      <c r="I116" s="48">
        <f t="shared" si="5"/>
        <v>-2.5518658999999999E-2</v>
      </c>
      <c r="J116" s="49">
        <f t="shared" si="6"/>
        <v>-140352.62450000001</v>
      </c>
      <c r="K116" s="48">
        <f t="shared" si="7"/>
        <v>-4.747785333333332E-2</v>
      </c>
      <c r="L116" s="49">
        <f t="shared" si="8"/>
        <v>-261128.19333333327</v>
      </c>
      <c r="M116" s="45">
        <f t="shared" ca="1" si="10"/>
        <v>-2.1285593796165871E-2</v>
      </c>
    </row>
    <row r="117" spans="1:13" x14ac:dyDescent="0.3">
      <c r="A117" s="38">
        <v>46090</v>
      </c>
      <c r="B117" s="43">
        <v>-7.306E-3</v>
      </c>
      <c r="C117" s="43">
        <v>-1.061E-2</v>
      </c>
      <c r="D117" s="43">
        <v>2.5769999999999999E-3</v>
      </c>
      <c r="E117" s="43">
        <v>5.6689999999999996E-3</v>
      </c>
      <c r="F117" s="43">
        <v>8.3040000000000006E-3</v>
      </c>
      <c r="G117" s="43">
        <v>1.3157E-2</v>
      </c>
      <c r="H117" s="44">
        <f t="shared" si="9"/>
        <v>-3.8631300000000002E-3</v>
      </c>
      <c r="I117" s="48">
        <f t="shared" si="5"/>
        <v>-2.5518658999999999E-2</v>
      </c>
      <c r="J117" s="49">
        <f t="shared" si="6"/>
        <v>-140352.62450000001</v>
      </c>
      <c r="K117" s="48">
        <f t="shared" si="7"/>
        <v>-4.747785333333332E-2</v>
      </c>
      <c r="L117" s="49">
        <f t="shared" si="8"/>
        <v>-261128.19333333327</v>
      </c>
      <c r="M117" s="45">
        <f t="shared" ca="1" si="10"/>
        <v>1.33098734740163E-2</v>
      </c>
    </row>
    <row r="118" spans="1:13" x14ac:dyDescent="0.3">
      <c r="A118" s="38">
        <v>46091</v>
      </c>
      <c r="B118" s="43">
        <v>8.1550000000000008E-3</v>
      </c>
      <c r="C118" s="43">
        <v>2.7143E-2</v>
      </c>
      <c r="D118" s="43">
        <v>6.0107999999999995E-2</v>
      </c>
      <c r="E118" s="43">
        <v>-3.6549999999999998E-3</v>
      </c>
      <c r="F118" s="43">
        <v>-2.1349999999999997E-3</v>
      </c>
      <c r="G118" s="43">
        <v>-4.3200000000000004E-4</v>
      </c>
      <c r="H118" s="44">
        <f t="shared" si="9"/>
        <v>1.9381790000000003E-2</v>
      </c>
      <c r="I118" s="48">
        <f t="shared" si="5"/>
        <v>-2.5518658999999999E-2</v>
      </c>
      <c r="J118" s="49">
        <f t="shared" si="6"/>
        <v>-140352.62450000001</v>
      </c>
      <c r="K118" s="48">
        <f t="shared" si="7"/>
        <v>-4.747785333333332E-2</v>
      </c>
      <c r="L118" s="49">
        <f t="shared" si="8"/>
        <v>-261128.19333333327</v>
      </c>
      <c r="M118" s="45">
        <f t="shared" ca="1" si="10"/>
        <v>9.4702448555491377E-3</v>
      </c>
    </row>
    <row r="119" spans="1:13" x14ac:dyDescent="0.3">
      <c r="A119" s="38">
        <v>46092</v>
      </c>
      <c r="B119" s="43">
        <v>-5.1099999999999995E-4</v>
      </c>
      <c r="C119" s="43">
        <v>-1.1913E-2</v>
      </c>
      <c r="D119" s="43">
        <v>-4.5103999999999998E-2</v>
      </c>
      <c r="E119" s="43">
        <v>1.6850000000000001E-3</v>
      </c>
      <c r="F119" s="43">
        <v>-8.3799999999999999E-4</v>
      </c>
      <c r="G119" s="43">
        <v>3.4200000000000002E-4</v>
      </c>
      <c r="H119" s="44">
        <f t="shared" si="9"/>
        <v>-9.7209000000000028E-3</v>
      </c>
      <c r="I119" s="48">
        <f t="shared" si="5"/>
        <v>-2.5518658999999999E-2</v>
      </c>
      <c r="J119" s="49">
        <f t="shared" si="6"/>
        <v>-140352.62450000001</v>
      </c>
      <c r="K119" s="48">
        <f t="shared" si="7"/>
        <v>-4.747785333333332E-2</v>
      </c>
      <c r="L119" s="49">
        <f t="shared" si="8"/>
        <v>-261128.19333333327</v>
      </c>
      <c r="M119" s="45">
        <f t="shared" ca="1" si="10"/>
        <v>-1.8265972414239155E-3</v>
      </c>
    </row>
    <row r="120" spans="1:13" x14ac:dyDescent="0.3">
      <c r="A120" s="38">
        <v>46093</v>
      </c>
      <c r="B120" s="43">
        <v>-5.8640000000000003E-3</v>
      </c>
      <c r="C120" s="43">
        <v>-9.9860000000000001E-3</v>
      </c>
      <c r="D120" s="43">
        <v>-4.6439999999999997E-3</v>
      </c>
      <c r="E120" s="43">
        <v>6.0780000000000001E-3</v>
      </c>
      <c r="F120" s="43">
        <v>-1.5227999999999998E-2</v>
      </c>
      <c r="G120" s="43">
        <v>-1.7281000000000001E-2</v>
      </c>
      <c r="H120" s="44">
        <f t="shared" si="9"/>
        <v>-9.2096699999999997E-3</v>
      </c>
      <c r="I120" s="48">
        <f t="shared" si="5"/>
        <v>-2.5518658999999999E-2</v>
      </c>
      <c r="J120" s="49">
        <f t="shared" si="6"/>
        <v>-140352.62450000001</v>
      </c>
      <c r="K120" s="48">
        <f t="shared" si="7"/>
        <v>-4.747785333333332E-2</v>
      </c>
      <c r="L120" s="49">
        <f t="shared" si="8"/>
        <v>-261128.19333333327</v>
      </c>
      <c r="M120" s="45">
        <f t="shared" ca="1" si="10"/>
        <v>1.5689998353737782E-2</v>
      </c>
    </row>
    <row r="121" spans="1:13" x14ac:dyDescent="0.3">
      <c r="A121" s="38">
        <v>46094</v>
      </c>
      <c r="B121" s="43">
        <v>-1.867E-3</v>
      </c>
      <c r="C121" s="43">
        <v>-1.2373E-2</v>
      </c>
      <c r="D121" s="43">
        <v>-4.4359999999999997E-2</v>
      </c>
      <c r="E121" s="43">
        <v>8.2299999999999995E-4</v>
      </c>
      <c r="F121" s="43">
        <v>-6.0590000000000001E-3</v>
      </c>
      <c r="G121" s="43">
        <v>-6.2300000000000003E-3</v>
      </c>
      <c r="H121" s="44">
        <f t="shared" si="9"/>
        <v>-1.1316890000000001E-2</v>
      </c>
      <c r="I121" s="48">
        <f t="shared" si="5"/>
        <v>-2.5518658999999999E-2</v>
      </c>
      <c r="J121" s="49">
        <f t="shared" si="6"/>
        <v>-140352.62450000001</v>
      </c>
      <c r="K121" s="48">
        <f t="shared" si="7"/>
        <v>-4.747785333333332E-2</v>
      </c>
      <c r="L121" s="49">
        <f t="shared" si="8"/>
        <v>-261128.19333333327</v>
      </c>
      <c r="M121" s="45">
        <f t="shared" ca="1" si="10"/>
        <v>-2.0244458644314246E-3</v>
      </c>
    </row>
    <row r="122" spans="1:13" x14ac:dyDescent="0.3">
      <c r="A122" s="38">
        <v>46097</v>
      </c>
      <c r="B122" s="43">
        <v>-7.5129999999999997E-3</v>
      </c>
      <c r="C122" s="43">
        <v>-1.1578E-2</v>
      </c>
      <c r="D122" s="43">
        <v>-8.0459999999999993E-3</v>
      </c>
      <c r="E122" s="43">
        <v>2.274E-3</v>
      </c>
      <c r="F122" s="43">
        <v>1.0130999999999999E-2</v>
      </c>
      <c r="G122" s="43">
        <v>1.1263E-2</v>
      </c>
      <c r="H122" s="44">
        <f t="shared" si="9"/>
        <v>-5.4108899999999998E-3</v>
      </c>
      <c r="I122" s="48">
        <f t="shared" si="5"/>
        <v>-2.5518658999999999E-2</v>
      </c>
      <c r="J122" s="49">
        <f t="shared" si="6"/>
        <v>-140352.62450000001</v>
      </c>
      <c r="K122" s="48">
        <f t="shared" si="7"/>
        <v>-4.747785333333332E-2</v>
      </c>
      <c r="L122" s="49">
        <f t="shared" si="8"/>
        <v>-261128.19333333327</v>
      </c>
      <c r="M122" s="45">
        <f t="shared" ca="1" si="10"/>
        <v>-7.7725878201970128E-3</v>
      </c>
    </row>
    <row r="123" spans="1:13" x14ac:dyDescent="0.3">
      <c r="A123" s="38">
        <v>46098</v>
      </c>
      <c r="B123" s="43">
        <v>5.6350000000000003E-3</v>
      </c>
      <c r="C123" s="43">
        <v>1.4019999999999998E-3</v>
      </c>
      <c r="D123" s="43">
        <v>-9.1319999999999995E-3</v>
      </c>
      <c r="E123" s="43">
        <v>-2.9020000000000001E-3</v>
      </c>
      <c r="F123" s="43">
        <v>2.4940000000000001E-3</v>
      </c>
      <c r="G123" s="43">
        <v>5.0729999999999994E-3</v>
      </c>
      <c r="H123" s="44">
        <f t="shared" si="9"/>
        <v>1.3864999999999999E-3</v>
      </c>
      <c r="I123" s="48">
        <f t="shared" si="5"/>
        <v>-2.5518658999999999E-2</v>
      </c>
      <c r="J123" s="49">
        <f t="shared" si="6"/>
        <v>-140352.62450000001</v>
      </c>
      <c r="K123" s="48">
        <f t="shared" si="7"/>
        <v>-4.747785333333332E-2</v>
      </c>
      <c r="L123" s="49">
        <f t="shared" si="8"/>
        <v>-261128.19333333327</v>
      </c>
      <c r="M123" s="45">
        <f t="shared" ca="1" si="10"/>
        <v>-4.5683973206810139E-3</v>
      </c>
    </row>
    <row r="124" spans="1:13" x14ac:dyDescent="0.3">
      <c r="A124" s="38">
        <v>46099</v>
      </c>
      <c r="B124" s="43">
        <v>3.473E-3</v>
      </c>
      <c r="C124" s="43">
        <v>-2.2216E-2</v>
      </c>
      <c r="D124" s="43">
        <v>-2.8818999999999997E-2</v>
      </c>
      <c r="E124" s="43">
        <v>-1.358E-3</v>
      </c>
      <c r="F124" s="43">
        <v>-1.3608E-2</v>
      </c>
      <c r="G124" s="43">
        <v>-1.4338999999999999E-2</v>
      </c>
      <c r="H124" s="44">
        <f t="shared" si="9"/>
        <v>-1.5983600000000001E-2</v>
      </c>
      <c r="I124" s="48">
        <f t="shared" si="5"/>
        <v>-2.5518658999999999E-2</v>
      </c>
      <c r="J124" s="49">
        <f t="shared" si="6"/>
        <v>-140352.62450000001</v>
      </c>
      <c r="K124" s="48">
        <f t="shared" si="7"/>
        <v>-4.747785333333332E-2</v>
      </c>
      <c r="L124" s="49">
        <f t="shared" si="8"/>
        <v>-261128.19333333327</v>
      </c>
      <c r="M124" s="45">
        <f t="shared" ca="1" si="10"/>
        <v>-1.0297512730805264E-2</v>
      </c>
    </row>
    <row r="125" spans="1:13" x14ac:dyDescent="0.3">
      <c r="A125" s="38">
        <v>46100</v>
      </c>
      <c r="B125" s="43">
        <v>-6.5000000000000006E-3</v>
      </c>
      <c r="C125" s="43">
        <v>-5.9142E-2</v>
      </c>
      <c r="D125" s="43">
        <v>-8.2032000000000008E-2</v>
      </c>
      <c r="E125" s="43">
        <v>5.7020000000000005E-3</v>
      </c>
      <c r="F125" s="43">
        <v>-2.7489999999999997E-3</v>
      </c>
      <c r="G125" s="43">
        <v>-2.8579999999999999E-3</v>
      </c>
      <c r="H125" s="44">
        <f t="shared" si="9"/>
        <v>-3.7917470000000002E-2</v>
      </c>
      <c r="I125" s="48">
        <f t="shared" si="5"/>
        <v>-2.7102534999999997E-2</v>
      </c>
      <c r="J125" s="49">
        <f t="shared" si="6"/>
        <v>-149063.94249999998</v>
      </c>
      <c r="K125" s="48">
        <f t="shared" si="7"/>
        <v>-5.1146373333333328E-2</v>
      </c>
      <c r="L125" s="49">
        <f t="shared" si="8"/>
        <v>-281305.05333333329</v>
      </c>
      <c r="M125" s="45">
        <f t="shared" ca="1" si="10"/>
        <v>9.2012341560813588E-3</v>
      </c>
    </row>
    <row r="126" spans="1:13" x14ac:dyDescent="0.3">
      <c r="A126" s="38">
        <v>46101</v>
      </c>
      <c r="B126" s="43">
        <v>9.8640000000000012E-3</v>
      </c>
      <c r="C126" s="43">
        <v>-6.5859999999999998E-3</v>
      </c>
      <c r="D126" s="43">
        <v>-2.1748E-2</v>
      </c>
      <c r="E126" s="43">
        <v>-1.1709000000000001E-2</v>
      </c>
      <c r="F126" s="43">
        <v>-1.5138E-2</v>
      </c>
      <c r="G126" s="43">
        <v>-1.8769000000000001E-2</v>
      </c>
      <c r="H126" s="44">
        <f t="shared" si="9"/>
        <v>-7.6760300000000004E-3</v>
      </c>
      <c r="I126" s="48">
        <f t="shared" ref="I126:I189" si="11">_xlfn.PERCENTILE.INC(H67:H126, 0.05)</f>
        <v>-2.7102534999999997E-2</v>
      </c>
      <c r="J126" s="49">
        <f t="shared" ref="J126:J189" si="12">$K$8*I126</f>
        <v>-149063.94249999998</v>
      </c>
      <c r="K126" s="48">
        <f t="shared" ref="K126:K189" si="13">AVERAGEIF(H67:H126, "&lt;"&amp;I126)</f>
        <v>-5.1146373333333328E-2</v>
      </c>
      <c r="L126" s="49">
        <f t="shared" ref="L126:L189" si="14">$K$8*K126</f>
        <v>-281305.05333333329</v>
      </c>
      <c r="M126" s="45">
        <f t="shared" ca="1" si="10"/>
        <v>3.0782520924986737E-2</v>
      </c>
    </row>
    <row r="127" spans="1:13" x14ac:dyDescent="0.3">
      <c r="A127" s="38">
        <v>46104</v>
      </c>
      <c r="B127" s="43">
        <v>-1.503E-3</v>
      </c>
      <c r="C127" s="43">
        <v>-3.6386000000000002E-2</v>
      </c>
      <c r="D127" s="43">
        <v>-4.4840000000000001E-3</v>
      </c>
      <c r="E127" s="43">
        <v>8.2950000000000003E-3</v>
      </c>
      <c r="F127" s="43">
        <v>1.1453E-2</v>
      </c>
      <c r="G127" s="43">
        <v>1.2153000000000001E-2</v>
      </c>
      <c r="H127" s="44">
        <f t="shared" si="9"/>
        <v>-1.6289729999999999E-2</v>
      </c>
      <c r="I127" s="48">
        <f t="shared" si="11"/>
        <v>-2.7102534999999997E-2</v>
      </c>
      <c r="J127" s="49">
        <f t="shared" si="12"/>
        <v>-149063.94249999998</v>
      </c>
      <c r="K127" s="48">
        <f t="shared" si="13"/>
        <v>-5.1146373333333328E-2</v>
      </c>
      <c r="L127" s="49">
        <f t="shared" si="14"/>
        <v>-281305.05333333329</v>
      </c>
      <c r="M127" s="45">
        <f t="shared" ca="1" si="10"/>
        <v>-1.235163441078848E-2</v>
      </c>
    </row>
    <row r="128" spans="1:13" x14ac:dyDescent="0.3">
      <c r="A128" s="38">
        <v>46105</v>
      </c>
      <c r="B128" s="43">
        <v>4.0629999999999998E-3</v>
      </c>
      <c r="C128" s="43">
        <v>-1.09E-3</v>
      </c>
      <c r="D128" s="43">
        <v>3.2590000000000002E-3</v>
      </c>
      <c r="E128" s="43">
        <v>-4.7410000000000004E-3</v>
      </c>
      <c r="F128" s="43">
        <v>-3.7430000000000002E-3</v>
      </c>
      <c r="G128" s="43">
        <v>-7.6949999999999996E-3</v>
      </c>
      <c r="H128" s="44">
        <f t="shared" si="9"/>
        <v>-1.0744699999999999E-3</v>
      </c>
      <c r="I128" s="48">
        <f t="shared" si="11"/>
        <v>-2.5518658999999999E-2</v>
      </c>
      <c r="J128" s="49">
        <f t="shared" si="12"/>
        <v>-140352.62450000001</v>
      </c>
      <c r="K128" s="48">
        <f t="shared" si="13"/>
        <v>-4.9875539999999996E-2</v>
      </c>
      <c r="L128" s="49">
        <f t="shared" si="14"/>
        <v>-274315.46999999997</v>
      </c>
      <c r="M128" s="45">
        <f t="shared" ca="1" si="10"/>
        <v>9.010703186664485E-4</v>
      </c>
    </row>
    <row r="129" spans="1:13" x14ac:dyDescent="0.3">
      <c r="A129" s="38">
        <v>46106</v>
      </c>
      <c r="B129" s="43">
        <v>6.4999999999999997E-4</v>
      </c>
      <c r="C129" s="43">
        <v>3.4209999999999997E-2</v>
      </c>
      <c r="D129" s="43">
        <v>4.4561999999999997E-2</v>
      </c>
      <c r="E129" s="43">
        <v>1.5079999999999998E-3</v>
      </c>
      <c r="F129" s="43">
        <v>5.4190000000000002E-3</v>
      </c>
      <c r="G129" s="43">
        <v>6.6879999999999995E-3</v>
      </c>
      <c r="H129" s="44">
        <f t="shared" si="9"/>
        <v>2.2398049999999999E-2</v>
      </c>
      <c r="I129" s="48">
        <f t="shared" si="11"/>
        <v>-2.5518658999999999E-2</v>
      </c>
      <c r="J129" s="49">
        <f t="shared" si="12"/>
        <v>-140352.62450000001</v>
      </c>
      <c r="K129" s="48">
        <f t="shared" si="13"/>
        <v>-4.9875539999999996E-2</v>
      </c>
      <c r="L129" s="49">
        <f t="shared" si="14"/>
        <v>-274315.46999999997</v>
      </c>
      <c r="M129" s="45">
        <f t="shared" ca="1" si="10"/>
        <v>-1.0809525598634679E-2</v>
      </c>
    </row>
    <row r="130" spans="1:13" x14ac:dyDescent="0.3">
      <c r="A130" s="38">
        <v>46107</v>
      </c>
      <c r="B130" s="43">
        <v>-4.5779999999999996E-3</v>
      </c>
      <c r="C130" s="43">
        <v>-3.8309000000000003E-2</v>
      </c>
      <c r="D130" s="43">
        <v>-6.4813999999999997E-2</v>
      </c>
      <c r="E130" s="43">
        <v>4.1960000000000001E-3</v>
      </c>
      <c r="F130" s="43">
        <v>-1.7405999999999998E-2</v>
      </c>
      <c r="G130" s="43">
        <v>-2.3837999999999998E-2</v>
      </c>
      <c r="H130" s="44">
        <f t="shared" ref="H130:H193" si="15">$J$2*B130+C130*$J$3+$J$4*D130+E130*$J$5+$J$6*F130+G130*$J$7</f>
        <v>-2.9217729999999997E-2</v>
      </c>
      <c r="I130" s="48">
        <f t="shared" si="11"/>
        <v>-2.7027200999999997E-2</v>
      </c>
      <c r="J130" s="49">
        <f t="shared" si="12"/>
        <v>-148649.60549999998</v>
      </c>
      <c r="K130" s="48">
        <f t="shared" si="13"/>
        <v>-5.064414666666666E-2</v>
      </c>
      <c r="L130" s="49">
        <f t="shared" si="14"/>
        <v>-278542.80666666664</v>
      </c>
      <c r="M130" s="45">
        <f t="shared" ref="M130:M193" ca="1" si="16">NORMINV(RAND(), $J$20, $J$21)</f>
        <v>7.4850061160538165E-3</v>
      </c>
    </row>
    <row r="131" spans="1:13" x14ac:dyDescent="0.3">
      <c r="A131" s="38">
        <v>46108</v>
      </c>
      <c r="B131" s="43">
        <v>-2.284E-3</v>
      </c>
      <c r="C131" s="43">
        <v>2.6625999999999997E-2</v>
      </c>
      <c r="D131" s="43">
        <v>2.7692999999999999E-2</v>
      </c>
      <c r="E131" s="43">
        <v>2.0080000000000002E-3</v>
      </c>
      <c r="F131" s="43">
        <v>-1.6722000000000001E-2</v>
      </c>
      <c r="G131" s="43">
        <v>-1.9257E-2</v>
      </c>
      <c r="H131" s="44">
        <f t="shared" si="15"/>
        <v>1.200003E-2</v>
      </c>
      <c r="I131" s="48">
        <f t="shared" si="11"/>
        <v>-2.7027200999999997E-2</v>
      </c>
      <c r="J131" s="49">
        <f t="shared" si="12"/>
        <v>-148649.60549999998</v>
      </c>
      <c r="K131" s="48">
        <f t="shared" si="13"/>
        <v>-5.064414666666666E-2</v>
      </c>
      <c r="L131" s="49">
        <f t="shared" si="14"/>
        <v>-278542.80666666664</v>
      </c>
      <c r="M131" s="45">
        <f t="shared" ca="1" si="16"/>
        <v>5.3920580478605045E-3</v>
      </c>
    </row>
    <row r="132" spans="1:13" x14ac:dyDescent="0.3">
      <c r="A132" s="38">
        <v>46111</v>
      </c>
      <c r="B132" s="43">
        <v>-3.735E-3</v>
      </c>
      <c r="C132" s="43">
        <v>7.5690000000000002E-3</v>
      </c>
      <c r="D132" s="43">
        <v>1.1201000000000001E-2</v>
      </c>
      <c r="E132" s="43">
        <v>3.3189999999999999E-3</v>
      </c>
      <c r="F132" s="43">
        <v>-3.9459999999999999E-3</v>
      </c>
      <c r="G132" s="43">
        <v>-7.7549999999999997E-3</v>
      </c>
      <c r="H132" s="44">
        <f t="shared" si="15"/>
        <v>3.2631500000000003E-3</v>
      </c>
      <c r="I132" s="48">
        <f t="shared" si="11"/>
        <v>-2.7027200999999997E-2</v>
      </c>
      <c r="J132" s="49">
        <f t="shared" si="12"/>
        <v>-148649.60549999998</v>
      </c>
      <c r="K132" s="48">
        <f t="shared" si="13"/>
        <v>-5.064414666666666E-2</v>
      </c>
      <c r="L132" s="49">
        <f t="shared" si="14"/>
        <v>-278542.80666666664</v>
      </c>
      <c r="M132" s="45">
        <f t="shared" ca="1" si="16"/>
        <v>3.981227230157698E-3</v>
      </c>
    </row>
    <row r="133" spans="1:13" x14ac:dyDescent="0.3">
      <c r="A133" s="38">
        <v>46112</v>
      </c>
      <c r="B133" s="43">
        <v>-2.7850000000000001E-3</v>
      </c>
      <c r="C133" s="43">
        <v>2.6867000000000002E-2</v>
      </c>
      <c r="D133" s="43">
        <v>6.2084E-2</v>
      </c>
      <c r="E133" s="43">
        <v>-2.4529999999999999E-3</v>
      </c>
      <c r="F133" s="43">
        <v>2.9131000000000001E-2</v>
      </c>
      <c r="G133" s="43">
        <v>3.4279000000000004E-2</v>
      </c>
      <c r="H133" s="44">
        <f t="shared" si="15"/>
        <v>2.4393480000000002E-2</v>
      </c>
      <c r="I133" s="48">
        <f t="shared" si="11"/>
        <v>-2.7027200999999997E-2</v>
      </c>
      <c r="J133" s="49">
        <f t="shared" si="12"/>
        <v>-148649.60549999998</v>
      </c>
      <c r="K133" s="48">
        <f t="shared" si="13"/>
        <v>-5.064414666666666E-2</v>
      </c>
      <c r="L133" s="49">
        <f t="shared" si="14"/>
        <v>-278542.80666666664</v>
      </c>
      <c r="M133" s="45">
        <f t="shared" ca="1" si="16"/>
        <v>-8.0857986238290856E-3</v>
      </c>
    </row>
    <row r="134" spans="1:13" x14ac:dyDescent="0.3">
      <c r="A134" s="38">
        <v>46113</v>
      </c>
      <c r="B134" s="43">
        <v>9.9649999999999999E-3</v>
      </c>
      <c r="C134" s="43">
        <v>2.9176000000000001E-2</v>
      </c>
      <c r="D134" s="43">
        <v>1.5758000000000001E-2</v>
      </c>
      <c r="E134" s="43">
        <v>-7.8949999999999992E-3</v>
      </c>
      <c r="F134" s="43">
        <v>7.169E-3</v>
      </c>
      <c r="G134" s="43">
        <v>1.1786000000000001E-2</v>
      </c>
      <c r="H134" s="44">
        <f t="shared" si="15"/>
        <v>1.9010780000000001E-2</v>
      </c>
      <c r="I134" s="48">
        <f t="shared" si="11"/>
        <v>-2.7027200999999997E-2</v>
      </c>
      <c r="J134" s="49">
        <f t="shared" si="12"/>
        <v>-148649.60549999998</v>
      </c>
      <c r="K134" s="48">
        <f t="shared" si="13"/>
        <v>-5.064414666666666E-2</v>
      </c>
      <c r="L134" s="49">
        <f t="shared" si="14"/>
        <v>-278542.80666666664</v>
      </c>
      <c r="M134" s="45">
        <f t="shared" ca="1" si="16"/>
        <v>-1.9329730024781867E-2</v>
      </c>
    </row>
    <row r="135" spans="1:13" x14ac:dyDescent="0.3">
      <c r="A135" s="38">
        <v>46114</v>
      </c>
      <c r="B135" s="43">
        <v>1.4139999999999999E-3</v>
      </c>
      <c r="C135" s="43">
        <v>-2.7533999999999999E-2</v>
      </c>
      <c r="D135" s="43">
        <v>-4.1283E-2</v>
      </c>
      <c r="E135" s="43">
        <v>6.87E-4</v>
      </c>
      <c r="F135" s="43">
        <v>1.121E-3</v>
      </c>
      <c r="G135" s="43">
        <v>1.0630000000000001E-3</v>
      </c>
      <c r="H135" s="44">
        <f t="shared" si="15"/>
        <v>-1.6872679999999998E-2</v>
      </c>
      <c r="I135" s="48">
        <f t="shared" si="11"/>
        <v>-2.7027200999999997E-2</v>
      </c>
      <c r="J135" s="49">
        <f t="shared" si="12"/>
        <v>-148649.60549999998</v>
      </c>
      <c r="K135" s="48">
        <f t="shared" si="13"/>
        <v>-5.064414666666666E-2</v>
      </c>
      <c r="L135" s="49">
        <f t="shared" si="14"/>
        <v>-278542.80666666664</v>
      </c>
      <c r="M135" s="45">
        <f t="shared" ca="1" si="16"/>
        <v>3.1403619253111789E-2</v>
      </c>
    </row>
    <row r="136" spans="1:13" x14ac:dyDescent="0.3">
      <c r="A136" s="38">
        <v>46115</v>
      </c>
      <c r="B136" s="43">
        <v>-4.2129999999999997E-3</v>
      </c>
      <c r="C136" s="43">
        <v>0</v>
      </c>
      <c r="D136" s="43">
        <v>0</v>
      </c>
      <c r="E136" s="43">
        <v>5.0600000000000003E-3</v>
      </c>
      <c r="F136" s="43">
        <v>0</v>
      </c>
      <c r="G136" s="43">
        <v>0</v>
      </c>
      <c r="H136" s="44">
        <f t="shared" si="15"/>
        <v>-3.2834999999999993E-4</v>
      </c>
      <c r="I136" s="48">
        <f t="shared" si="11"/>
        <v>-2.7027200999999997E-2</v>
      </c>
      <c r="J136" s="49">
        <f t="shared" si="12"/>
        <v>-148649.60549999998</v>
      </c>
      <c r="K136" s="48">
        <f t="shared" si="13"/>
        <v>-5.064414666666666E-2</v>
      </c>
      <c r="L136" s="49">
        <f t="shared" si="14"/>
        <v>-278542.80666666664</v>
      </c>
      <c r="M136" s="45">
        <f t="shared" ca="1" si="16"/>
        <v>1.8815173993660866E-2</v>
      </c>
    </row>
    <row r="137" spans="1:13" x14ac:dyDescent="0.3">
      <c r="A137" s="38">
        <v>46118</v>
      </c>
      <c r="B137" s="43">
        <v>-2.751E-3</v>
      </c>
      <c r="C137" s="43">
        <v>1.139E-3</v>
      </c>
      <c r="D137" s="43">
        <v>-1.0169999999999999E-3</v>
      </c>
      <c r="E137" s="43">
        <v>1.812E-3</v>
      </c>
      <c r="F137" s="43">
        <v>4.4269999999999995E-3</v>
      </c>
      <c r="G137" s="43">
        <v>6.0980000000000001E-3</v>
      </c>
      <c r="H137" s="44">
        <f t="shared" si="15"/>
        <v>1.23139E-3</v>
      </c>
      <c r="I137" s="48">
        <f t="shared" si="11"/>
        <v>-2.7027200999999997E-2</v>
      </c>
      <c r="J137" s="49">
        <f t="shared" si="12"/>
        <v>-148649.60549999998</v>
      </c>
      <c r="K137" s="48">
        <f t="shared" si="13"/>
        <v>-5.064414666666666E-2</v>
      </c>
      <c r="L137" s="49">
        <f t="shared" si="14"/>
        <v>-278542.80666666664</v>
      </c>
      <c r="M137" s="45">
        <f t="shared" ca="1" si="16"/>
        <v>-1.8964768737108659E-2</v>
      </c>
    </row>
    <row r="138" spans="1:13" x14ac:dyDescent="0.3">
      <c r="A138" s="38">
        <v>46119</v>
      </c>
      <c r="B138" s="43">
        <v>2.712E-3</v>
      </c>
      <c r="C138" s="43">
        <v>6.3999999999999997E-5</v>
      </c>
      <c r="D138" s="43">
        <v>-1.1492E-2</v>
      </c>
      <c r="E138" s="43">
        <v>-6.0700000000000001E-4</v>
      </c>
      <c r="F138" s="43">
        <v>7.5899999999999991E-4</v>
      </c>
      <c r="G138" s="43">
        <v>4.2200000000000001E-4</v>
      </c>
      <c r="H138" s="44">
        <f t="shared" si="15"/>
        <v>-3.9487000000000002E-4</v>
      </c>
      <c r="I138" s="48">
        <f t="shared" si="11"/>
        <v>-2.7027200999999997E-2</v>
      </c>
      <c r="J138" s="49">
        <f t="shared" si="12"/>
        <v>-148649.60549999998</v>
      </c>
      <c r="K138" s="48">
        <f t="shared" si="13"/>
        <v>-5.064414666666666E-2</v>
      </c>
      <c r="L138" s="49">
        <f t="shared" si="14"/>
        <v>-278542.80666666664</v>
      </c>
      <c r="M138" s="45">
        <f t="shared" ca="1" si="16"/>
        <v>1.368279449212409E-2</v>
      </c>
    </row>
    <row r="139" spans="1:13" x14ac:dyDescent="0.3">
      <c r="A139" s="38">
        <v>46120</v>
      </c>
      <c r="B139" s="43">
        <v>1.2598E-2</v>
      </c>
      <c r="C139" s="43">
        <v>1.9841000000000001E-2</v>
      </c>
      <c r="D139" s="43">
        <v>4.7309000000000004E-2</v>
      </c>
      <c r="E139" s="43">
        <v>-6.0560000000000006E-3</v>
      </c>
      <c r="F139" s="43">
        <v>2.5081000000000003E-2</v>
      </c>
      <c r="G139" s="43">
        <v>2.8955999999999999E-2</v>
      </c>
      <c r="H139" s="44">
        <f t="shared" si="15"/>
        <v>2.0794920000000001E-2</v>
      </c>
      <c r="I139" s="48">
        <f t="shared" si="11"/>
        <v>-2.7027200999999997E-2</v>
      </c>
      <c r="J139" s="49">
        <f t="shared" si="12"/>
        <v>-148649.60549999998</v>
      </c>
      <c r="K139" s="48">
        <f t="shared" si="13"/>
        <v>-5.064414666666666E-2</v>
      </c>
      <c r="L139" s="49">
        <f t="shared" si="14"/>
        <v>-278542.80666666664</v>
      </c>
      <c r="M139" s="45">
        <f t="shared" ca="1" si="16"/>
        <v>-1.0954244772771802E-2</v>
      </c>
    </row>
    <row r="140" spans="1:13" x14ac:dyDescent="0.3">
      <c r="A140" s="38">
        <v>46121</v>
      </c>
      <c r="B140" s="43">
        <v>-2.3319999999999999E-3</v>
      </c>
      <c r="C140" s="43">
        <v>8.9899999999999997E-3</v>
      </c>
      <c r="D140" s="43">
        <v>1.3998E-2</v>
      </c>
      <c r="E140" s="43">
        <v>-4.6600000000000005E-4</v>
      </c>
      <c r="F140" s="43">
        <v>6.1700000000000001E-3</v>
      </c>
      <c r="G140" s="43">
        <v>7.1850000000000004E-3</v>
      </c>
      <c r="H140" s="44">
        <f t="shared" si="15"/>
        <v>6.6523300000000014E-3</v>
      </c>
      <c r="I140" s="48">
        <f t="shared" si="11"/>
        <v>-2.7027200999999997E-2</v>
      </c>
      <c r="J140" s="49">
        <f t="shared" si="12"/>
        <v>-148649.60549999998</v>
      </c>
      <c r="K140" s="48">
        <f t="shared" si="13"/>
        <v>-5.064414666666666E-2</v>
      </c>
      <c r="L140" s="49">
        <f t="shared" si="14"/>
        <v>-278542.80666666664</v>
      </c>
      <c r="M140" s="45">
        <f t="shared" ca="1" si="16"/>
        <v>-5.0040302241139475E-3</v>
      </c>
    </row>
    <row r="141" spans="1:13" x14ac:dyDescent="0.3">
      <c r="A141" s="38">
        <v>46122</v>
      </c>
      <c r="B141" s="43">
        <v>2.7360000000000002E-3</v>
      </c>
      <c r="C141" s="43">
        <v>-6.3229999999999996E-3</v>
      </c>
      <c r="D141" s="43">
        <v>6.1600000000000001E-4</v>
      </c>
      <c r="E141" s="43">
        <v>2.9629999999999999E-3</v>
      </c>
      <c r="F141" s="43">
        <v>-1.139E-3</v>
      </c>
      <c r="G141" s="43">
        <v>1.366E-3</v>
      </c>
      <c r="H141" s="44">
        <f t="shared" si="15"/>
        <v>-2.5896199999999999E-3</v>
      </c>
      <c r="I141" s="48">
        <f t="shared" si="11"/>
        <v>-2.7027200999999997E-2</v>
      </c>
      <c r="J141" s="49">
        <f t="shared" si="12"/>
        <v>-148649.60549999998</v>
      </c>
      <c r="K141" s="48">
        <f t="shared" si="13"/>
        <v>-5.064414666666666E-2</v>
      </c>
      <c r="L141" s="49">
        <f t="shared" si="14"/>
        <v>-278542.80666666664</v>
      </c>
      <c r="M141" s="45">
        <f t="shared" ca="1" si="16"/>
        <v>-6.3455120299574898E-3</v>
      </c>
    </row>
    <row r="142" spans="1:13" x14ac:dyDescent="0.3">
      <c r="A142" s="38">
        <v>46125</v>
      </c>
      <c r="B142" s="43">
        <v>-1.3780000000000001E-3</v>
      </c>
      <c r="C142" s="43">
        <v>-4.0949999999999997E-3</v>
      </c>
      <c r="D142" s="43">
        <v>-1.0495000000000001E-2</v>
      </c>
      <c r="E142" s="43">
        <v>3.5699999999999998E-3</v>
      </c>
      <c r="F142" s="43">
        <v>1.0173000000000001E-2</v>
      </c>
      <c r="G142" s="43">
        <v>1.0645999999999999E-2</v>
      </c>
      <c r="H142" s="44">
        <f t="shared" si="15"/>
        <v>-8.4338000000000034E-4</v>
      </c>
      <c r="I142" s="48">
        <f t="shared" si="11"/>
        <v>-2.7027200999999997E-2</v>
      </c>
      <c r="J142" s="49">
        <f t="shared" si="12"/>
        <v>-148649.60549999998</v>
      </c>
      <c r="K142" s="48">
        <f t="shared" si="13"/>
        <v>-5.064414666666666E-2</v>
      </c>
      <c r="L142" s="49">
        <f t="shared" si="14"/>
        <v>-278542.80666666664</v>
      </c>
      <c r="M142" s="45">
        <f t="shared" ca="1" si="16"/>
        <v>1.0275091681582961E-4</v>
      </c>
    </row>
    <row r="143" spans="1:13" x14ac:dyDescent="0.3">
      <c r="A143" s="38">
        <v>46126</v>
      </c>
      <c r="B143" s="43">
        <v>8.0260000000000001E-3</v>
      </c>
      <c r="C143" s="43">
        <v>1.7417000000000002E-2</v>
      </c>
      <c r="D143" s="43">
        <v>5.1215999999999998E-2</v>
      </c>
      <c r="E143" s="43">
        <v>-2.918E-3</v>
      </c>
      <c r="F143" s="43">
        <v>1.1782999999999998E-2</v>
      </c>
      <c r="G143" s="43">
        <v>1.8054000000000001E-2</v>
      </c>
      <c r="H143" s="44">
        <f t="shared" si="15"/>
        <v>1.6929759999999999E-2</v>
      </c>
      <c r="I143" s="48">
        <f t="shared" si="11"/>
        <v>-2.7027200999999997E-2</v>
      </c>
      <c r="J143" s="49">
        <f t="shared" si="12"/>
        <v>-148649.60549999998</v>
      </c>
      <c r="K143" s="48">
        <f t="shared" si="13"/>
        <v>-5.064414666666666E-2</v>
      </c>
      <c r="L143" s="49">
        <f t="shared" si="14"/>
        <v>-278542.80666666664</v>
      </c>
      <c r="M143" s="45">
        <f t="shared" ca="1" si="16"/>
        <v>-8.2155902899020954E-3</v>
      </c>
    </row>
    <row r="144" spans="1:13" x14ac:dyDescent="0.3">
      <c r="A144" s="38">
        <v>46127</v>
      </c>
      <c r="B144" s="43">
        <v>2.5959999999999998E-3</v>
      </c>
      <c r="C144" s="43">
        <v>-5.1809999999999998E-3</v>
      </c>
      <c r="D144" s="43">
        <v>1.2600000000000001E-3</v>
      </c>
      <c r="E144" s="43">
        <v>-2.6510000000000001E-3</v>
      </c>
      <c r="F144" s="43">
        <v>7.9760000000000005E-3</v>
      </c>
      <c r="G144" s="43">
        <v>1.4031E-2</v>
      </c>
      <c r="H144" s="44">
        <f t="shared" si="15"/>
        <v>-1.7102000000000024E-4</v>
      </c>
      <c r="I144" s="48">
        <f t="shared" si="11"/>
        <v>-2.7027200999999997E-2</v>
      </c>
      <c r="J144" s="49">
        <f t="shared" si="12"/>
        <v>-148649.60549999998</v>
      </c>
      <c r="K144" s="48">
        <f t="shared" si="13"/>
        <v>-5.064414666666666E-2</v>
      </c>
      <c r="L144" s="49">
        <f t="shared" si="14"/>
        <v>-278542.80666666664</v>
      </c>
      <c r="M144" s="45">
        <f t="shared" ca="1" si="16"/>
        <v>-7.7149268302181299E-3</v>
      </c>
    </row>
    <row r="145" spans="1:13" x14ac:dyDescent="0.3">
      <c r="A145" s="38">
        <v>46128</v>
      </c>
      <c r="B145" s="43">
        <v>8.2699999999999994E-4</v>
      </c>
      <c r="C145" s="43">
        <v>-3.0420000000000004E-3</v>
      </c>
      <c r="D145" s="43">
        <v>-1.1132999999999999E-2</v>
      </c>
      <c r="E145" s="43">
        <v>1.07E-4</v>
      </c>
      <c r="F145" s="43">
        <v>2.6099999999999999E-3</v>
      </c>
      <c r="G145" s="43">
        <v>4.901E-3</v>
      </c>
      <c r="H145" s="44">
        <f t="shared" si="15"/>
        <v>-1.5834000000000004E-3</v>
      </c>
      <c r="I145" s="48">
        <f t="shared" si="11"/>
        <v>-2.7027200999999997E-2</v>
      </c>
      <c r="J145" s="49">
        <f t="shared" si="12"/>
        <v>-148649.60549999998</v>
      </c>
      <c r="K145" s="48">
        <f t="shared" si="13"/>
        <v>-5.064414666666666E-2</v>
      </c>
      <c r="L145" s="49">
        <f t="shared" si="14"/>
        <v>-278542.80666666664</v>
      </c>
      <c r="M145" s="45">
        <f t="shared" ca="1" si="16"/>
        <v>3.0246900506448E-3</v>
      </c>
    </row>
    <row r="146" spans="1:13" x14ac:dyDescent="0.3">
      <c r="A146" s="38">
        <v>46129</v>
      </c>
      <c r="B146" s="43">
        <v>-2.2389999999999997E-3</v>
      </c>
      <c r="C146" s="43">
        <v>1.5087999999999999E-2</v>
      </c>
      <c r="D146" s="43">
        <v>3.9843999999999997E-2</v>
      </c>
      <c r="E146" s="43">
        <v>2.431E-3</v>
      </c>
      <c r="F146" s="43">
        <v>1.204E-2</v>
      </c>
      <c r="G146" s="43">
        <v>1.2889999999999999E-2</v>
      </c>
      <c r="H146" s="44">
        <f t="shared" si="15"/>
        <v>1.3176909999999997E-2</v>
      </c>
      <c r="I146" s="48">
        <f t="shared" si="11"/>
        <v>-2.7027200999999997E-2</v>
      </c>
      <c r="J146" s="49">
        <f t="shared" si="12"/>
        <v>-148649.60549999998</v>
      </c>
      <c r="K146" s="48">
        <f t="shared" si="13"/>
        <v>-5.064414666666666E-2</v>
      </c>
      <c r="L146" s="49">
        <f t="shared" si="14"/>
        <v>-278542.80666666664</v>
      </c>
      <c r="M146" s="45">
        <f t="shared" ca="1" si="16"/>
        <v>4.1294191519483078E-4</v>
      </c>
    </row>
    <row r="147" spans="1:13" x14ac:dyDescent="0.3">
      <c r="A147" s="38">
        <v>46132</v>
      </c>
      <c r="B147" s="43">
        <v>-3.522E-3</v>
      </c>
      <c r="C147" s="43">
        <v>-1.0499000000000001E-2</v>
      </c>
      <c r="D147" s="43">
        <v>-2.1863E-2</v>
      </c>
      <c r="E147" s="43">
        <v>-2.14E-4</v>
      </c>
      <c r="F147" s="43">
        <v>-2.3739999999999998E-3</v>
      </c>
      <c r="G147" s="43">
        <v>-3.078E-3</v>
      </c>
      <c r="H147" s="44">
        <f t="shared" si="15"/>
        <v>-8.1828300000000003E-3</v>
      </c>
      <c r="I147" s="48">
        <f t="shared" si="11"/>
        <v>-2.7027200999999997E-2</v>
      </c>
      <c r="J147" s="49">
        <f t="shared" si="12"/>
        <v>-148649.60549999998</v>
      </c>
      <c r="K147" s="48">
        <f t="shared" si="13"/>
        <v>-5.064414666666666E-2</v>
      </c>
      <c r="L147" s="49">
        <f t="shared" si="14"/>
        <v>-278542.80666666664</v>
      </c>
      <c r="M147" s="45">
        <f t="shared" ca="1" si="16"/>
        <v>-8.3046456743929385E-5</v>
      </c>
    </row>
    <row r="148" spans="1:13" x14ac:dyDescent="0.3">
      <c r="A148" s="38">
        <v>46133</v>
      </c>
      <c r="B148" s="43">
        <v>3.6770000000000001E-3</v>
      </c>
      <c r="C148" s="43">
        <v>-2.2511E-2</v>
      </c>
      <c r="D148" s="43">
        <v>-4.4276999999999997E-2</v>
      </c>
      <c r="E148" s="43">
        <v>-1.9919999999999998E-3</v>
      </c>
      <c r="F148" s="43">
        <v>-6.3480000000000003E-3</v>
      </c>
      <c r="G148" s="43">
        <v>-4.1700000000000001E-3</v>
      </c>
      <c r="H148" s="44">
        <f t="shared" si="15"/>
        <v>-1.5664319999999999E-2</v>
      </c>
      <c r="I148" s="48">
        <f t="shared" si="11"/>
        <v>-2.7027200999999997E-2</v>
      </c>
      <c r="J148" s="49">
        <f t="shared" si="12"/>
        <v>-148649.60549999998</v>
      </c>
      <c r="K148" s="48">
        <f t="shared" si="13"/>
        <v>-5.064414666666666E-2</v>
      </c>
      <c r="L148" s="49">
        <f t="shared" si="14"/>
        <v>-278542.80666666664</v>
      </c>
      <c r="M148" s="45">
        <f t="shared" ca="1" si="16"/>
        <v>3.1150762686926146E-3</v>
      </c>
    </row>
    <row r="149" spans="1:13" x14ac:dyDescent="0.3">
      <c r="A149" s="38">
        <v>46134</v>
      </c>
      <c r="B149" s="43">
        <v>-3.4060000000000002E-3</v>
      </c>
      <c r="C149" s="43">
        <v>7.2579999999999997E-3</v>
      </c>
      <c r="D149" s="43">
        <v>1.9394999999999999E-2</v>
      </c>
      <c r="E149" s="43">
        <v>3.3300000000000001E-3</v>
      </c>
      <c r="F149" s="43">
        <v>1.0460000000000001E-2</v>
      </c>
      <c r="G149" s="43">
        <v>1.7289000000000002E-2</v>
      </c>
      <c r="H149" s="44">
        <f t="shared" si="15"/>
        <v>7.6486899999999997E-3</v>
      </c>
      <c r="I149" s="48">
        <f t="shared" si="11"/>
        <v>-2.7027200999999997E-2</v>
      </c>
      <c r="J149" s="49">
        <f t="shared" si="12"/>
        <v>-148649.60549999998</v>
      </c>
      <c r="K149" s="48">
        <f t="shared" si="13"/>
        <v>-5.064414666666666E-2</v>
      </c>
      <c r="L149" s="49">
        <f t="shared" si="14"/>
        <v>-278542.80666666664</v>
      </c>
      <c r="M149" s="45">
        <f t="shared" ca="1" si="16"/>
        <v>-7.7815211718757328E-3</v>
      </c>
    </row>
    <row r="150" spans="1:13" x14ac:dyDescent="0.3">
      <c r="A150" s="38">
        <v>46135</v>
      </c>
      <c r="B150" s="43">
        <v>-3.2540000000000004E-3</v>
      </c>
      <c r="C150" s="43">
        <v>-5.79E-3</v>
      </c>
      <c r="D150" s="43">
        <v>-3.1171000000000001E-2</v>
      </c>
      <c r="E150" s="43">
        <v>7.2199999999999999E-4</v>
      </c>
      <c r="F150" s="43">
        <v>-4.1330000000000004E-3</v>
      </c>
      <c r="G150" s="43">
        <v>-5.7410000000000004E-3</v>
      </c>
      <c r="H150" s="44">
        <f t="shared" si="15"/>
        <v>-6.8626800000000003E-3</v>
      </c>
      <c r="I150" s="48">
        <f t="shared" si="11"/>
        <v>-2.7027200999999997E-2</v>
      </c>
      <c r="J150" s="49">
        <f t="shared" si="12"/>
        <v>-148649.60549999998</v>
      </c>
      <c r="K150" s="48">
        <f t="shared" si="13"/>
        <v>-5.064414666666666E-2</v>
      </c>
      <c r="L150" s="49">
        <f t="shared" si="14"/>
        <v>-278542.80666666664</v>
      </c>
      <c r="M150" s="45">
        <f t="shared" ca="1" si="16"/>
        <v>1.2381327184052798E-2</v>
      </c>
    </row>
    <row r="151" spans="1:13" x14ac:dyDescent="0.3">
      <c r="A151" s="38">
        <v>46136</v>
      </c>
      <c r="B151" s="43">
        <v>-1.8929999999999999E-3</v>
      </c>
      <c r="C151" s="43">
        <v>3.656E-3</v>
      </c>
      <c r="D151" s="43">
        <v>1.2164999999999999E-2</v>
      </c>
      <c r="E151" s="43">
        <v>1.6239999999999998E-3</v>
      </c>
      <c r="F151" s="43">
        <v>7.9740000000000002E-3</v>
      </c>
      <c r="G151" s="43">
        <v>1.9453999999999999E-2</v>
      </c>
      <c r="H151" s="44">
        <f t="shared" si="15"/>
        <v>5.2792499999999992E-3</v>
      </c>
      <c r="I151" s="48">
        <f t="shared" si="11"/>
        <v>-2.5518658999999999E-2</v>
      </c>
      <c r="J151" s="49">
        <f t="shared" si="12"/>
        <v>-140352.62450000001</v>
      </c>
      <c r="K151" s="48">
        <f t="shared" si="13"/>
        <v>-3.1349036666666663E-2</v>
      </c>
      <c r="L151" s="49">
        <f t="shared" si="14"/>
        <v>-172419.70166666666</v>
      </c>
      <c r="M151" s="45">
        <f t="shared" ca="1" si="16"/>
        <v>-3.0728213942741681E-2</v>
      </c>
    </row>
    <row r="152" spans="1:13" x14ac:dyDescent="0.3">
      <c r="A152" s="38">
        <v>46139</v>
      </c>
      <c r="B152" s="43">
        <v>1.9320000000000001E-3</v>
      </c>
      <c r="C152" s="43">
        <v>-9.9319999999999999E-3</v>
      </c>
      <c r="D152" s="43">
        <v>-1.8067E-2</v>
      </c>
      <c r="E152" s="43">
        <v>-1.07E-3</v>
      </c>
      <c r="F152" s="43">
        <v>1.232E-3</v>
      </c>
      <c r="G152" s="43">
        <v>7.400000000000001E-5</v>
      </c>
      <c r="H152" s="44">
        <f t="shared" si="15"/>
        <v>-6.1428999999999997E-3</v>
      </c>
      <c r="I152" s="48">
        <f t="shared" si="11"/>
        <v>-2.5518658999999999E-2</v>
      </c>
      <c r="J152" s="49">
        <f t="shared" si="12"/>
        <v>-140352.62450000001</v>
      </c>
      <c r="K152" s="48">
        <f t="shared" si="13"/>
        <v>-3.1349036666666663E-2</v>
      </c>
      <c r="L152" s="49">
        <f t="shared" si="14"/>
        <v>-172419.70166666666</v>
      </c>
      <c r="M152" s="45">
        <f t="shared" ca="1" si="16"/>
        <v>1.8226713471428957E-2</v>
      </c>
    </row>
    <row r="153" spans="1:13" x14ac:dyDescent="0.3">
      <c r="A153" s="38">
        <v>46140</v>
      </c>
      <c r="B153" s="43">
        <v>1.454E-3</v>
      </c>
      <c r="C153" s="43">
        <v>-1.7944999999999999E-2</v>
      </c>
      <c r="D153" s="43">
        <v>-2.3972000000000004E-2</v>
      </c>
      <c r="E153" s="43">
        <v>-1.372E-3</v>
      </c>
      <c r="F153" s="43">
        <v>-4.8939999999999999E-3</v>
      </c>
      <c r="G153" s="43">
        <v>-1.0132E-2</v>
      </c>
      <c r="H153" s="44">
        <f t="shared" si="15"/>
        <v>-1.238415E-2</v>
      </c>
      <c r="I153" s="48">
        <f t="shared" si="11"/>
        <v>-2.5518658999999999E-2</v>
      </c>
      <c r="J153" s="49">
        <f t="shared" si="12"/>
        <v>-140352.62450000001</v>
      </c>
      <c r="K153" s="48">
        <f t="shared" si="13"/>
        <v>-3.1349036666666663E-2</v>
      </c>
      <c r="L153" s="49">
        <f t="shared" si="14"/>
        <v>-172419.70166666666</v>
      </c>
      <c r="M153" s="45">
        <f t="shared" ca="1" si="16"/>
        <v>-7.7396507738410692E-3</v>
      </c>
    </row>
    <row r="154" spans="1:13" x14ac:dyDescent="0.3">
      <c r="A154" s="38">
        <v>46141</v>
      </c>
      <c r="B154" s="43">
        <v>-4.8000000000000001E-4</v>
      </c>
      <c r="C154" s="43">
        <v>-1.0083999999999999E-2</v>
      </c>
      <c r="D154" s="43">
        <v>-2.2348E-2</v>
      </c>
      <c r="E154" s="43">
        <v>1.224E-3</v>
      </c>
      <c r="F154" s="43">
        <v>-3.9899999999999999E-4</v>
      </c>
      <c r="G154" s="43">
        <v>5.8440000000000002E-3</v>
      </c>
      <c r="H154" s="44">
        <f t="shared" si="15"/>
        <v>-6.4471700000000003E-3</v>
      </c>
      <c r="I154" s="48">
        <f t="shared" si="11"/>
        <v>-2.5518658999999999E-2</v>
      </c>
      <c r="J154" s="49">
        <f t="shared" si="12"/>
        <v>-140352.62450000001</v>
      </c>
      <c r="K154" s="48">
        <f t="shared" si="13"/>
        <v>-3.1349036666666663E-2</v>
      </c>
      <c r="L154" s="49">
        <f t="shared" si="14"/>
        <v>-172419.70166666666</v>
      </c>
      <c r="M154" s="45">
        <f t="shared" ca="1" si="16"/>
        <v>-2.6402938124938952E-3</v>
      </c>
    </row>
    <row r="155" spans="1:13" x14ac:dyDescent="0.3">
      <c r="A155" s="38">
        <v>46142</v>
      </c>
      <c r="B155" s="43">
        <v>-2.8279999999999998E-3</v>
      </c>
      <c r="C155" s="43">
        <v>1.5290999999999999E-2</v>
      </c>
      <c r="D155" s="43">
        <v>2.7456000000000001E-2</v>
      </c>
      <c r="E155" s="43">
        <v>3.9610000000000001E-3</v>
      </c>
      <c r="F155" s="43">
        <v>1.0238000000000001E-2</v>
      </c>
      <c r="G155" s="43">
        <v>9.7520000000000003E-3</v>
      </c>
      <c r="H155" s="44">
        <f t="shared" si="15"/>
        <v>1.1812210000000002E-2</v>
      </c>
      <c r="I155" s="48">
        <f t="shared" si="11"/>
        <v>-2.5518658999999999E-2</v>
      </c>
      <c r="J155" s="49">
        <f t="shared" si="12"/>
        <v>-140352.62450000001</v>
      </c>
      <c r="K155" s="48">
        <f t="shared" si="13"/>
        <v>-3.1349036666666663E-2</v>
      </c>
      <c r="L155" s="49">
        <f t="shared" si="14"/>
        <v>-172419.70166666666</v>
      </c>
      <c r="M155" s="45">
        <f t="shared" ca="1" si="16"/>
        <v>9.3253258715561959E-3</v>
      </c>
    </row>
    <row r="156" spans="1:13" x14ac:dyDescent="0.3">
      <c r="A156" s="38">
        <v>46143</v>
      </c>
      <c r="B156" s="43">
        <v>3.8E-3</v>
      </c>
      <c r="C156" s="43">
        <v>3.2940000000000001E-3</v>
      </c>
      <c r="D156" s="43">
        <v>3.2869000000000002E-2</v>
      </c>
      <c r="E156" s="43">
        <v>-2.0015000000000002E-2</v>
      </c>
      <c r="F156" s="43">
        <v>2.928E-3</v>
      </c>
      <c r="G156" s="43">
        <v>9.4070000000000004E-3</v>
      </c>
      <c r="H156" s="44">
        <f t="shared" si="15"/>
        <v>4.8472700000000007E-3</v>
      </c>
      <c r="I156" s="48">
        <f t="shared" si="11"/>
        <v>-2.5518658999999999E-2</v>
      </c>
      <c r="J156" s="49">
        <f t="shared" si="12"/>
        <v>-140352.62450000001</v>
      </c>
      <c r="K156" s="48">
        <f t="shared" si="13"/>
        <v>-3.1349036666666663E-2</v>
      </c>
      <c r="L156" s="49">
        <f t="shared" si="14"/>
        <v>-172419.70166666666</v>
      </c>
      <c r="M156" s="45">
        <f t="shared" ca="1" si="16"/>
        <v>-4.9678567241861716E-3</v>
      </c>
    </row>
    <row r="157" spans="1:13" x14ac:dyDescent="0.3">
      <c r="A157" s="38">
        <v>46146</v>
      </c>
      <c r="B157" s="43">
        <v>-2.1100000000000001E-4</v>
      </c>
      <c r="C157" s="43">
        <v>-2.3845000000000002E-2</v>
      </c>
      <c r="D157" s="43">
        <v>-3.7906000000000002E-2</v>
      </c>
      <c r="E157" s="43">
        <v>-8.4099999999999995E-4</v>
      </c>
      <c r="F157" s="43">
        <v>-4.0619999999999996E-3</v>
      </c>
      <c r="G157" s="43">
        <v>-2.1129999999999999E-3</v>
      </c>
      <c r="H157" s="44">
        <f t="shared" si="15"/>
        <v>-1.5912530000000001E-2</v>
      </c>
      <c r="I157" s="48">
        <f t="shared" si="11"/>
        <v>-2.5518658999999999E-2</v>
      </c>
      <c r="J157" s="49">
        <f t="shared" si="12"/>
        <v>-140352.62450000001</v>
      </c>
      <c r="K157" s="48">
        <f t="shared" si="13"/>
        <v>-3.1349036666666663E-2</v>
      </c>
      <c r="L157" s="49">
        <f t="shared" si="14"/>
        <v>-172419.70166666666</v>
      </c>
      <c r="M157" s="45">
        <f t="shared" ca="1" si="16"/>
        <v>1.1569716575756353E-2</v>
      </c>
    </row>
    <row r="158" spans="1:13" x14ac:dyDescent="0.3">
      <c r="A158" s="38">
        <v>46147</v>
      </c>
      <c r="B158" s="43">
        <v>-2.9580000000000001E-3</v>
      </c>
      <c r="C158" s="43">
        <v>8.0320000000000009E-3</v>
      </c>
      <c r="D158" s="43">
        <v>4.9299999999999995E-4</v>
      </c>
      <c r="E158" s="43">
        <v>2.2190000000000001E-3</v>
      </c>
      <c r="F158" s="43">
        <v>8.1200000000000005E-3</v>
      </c>
      <c r="G158" s="43">
        <v>1.3136000000000002E-2</v>
      </c>
      <c r="H158" s="44">
        <f t="shared" si="15"/>
        <v>5.9006400000000004E-3</v>
      </c>
      <c r="I158" s="48">
        <f t="shared" si="11"/>
        <v>-2.5518658999999999E-2</v>
      </c>
      <c r="J158" s="49">
        <f t="shared" si="12"/>
        <v>-140352.62450000001</v>
      </c>
      <c r="K158" s="48">
        <f t="shared" si="13"/>
        <v>-3.1349036666666663E-2</v>
      </c>
      <c r="L158" s="49">
        <f t="shared" si="14"/>
        <v>-172419.70166666666</v>
      </c>
      <c r="M158" s="45">
        <f t="shared" ca="1" si="16"/>
        <v>1.410464003580734E-2</v>
      </c>
    </row>
    <row r="159" spans="1:13" x14ac:dyDescent="0.3">
      <c r="A159" s="38">
        <v>46148</v>
      </c>
      <c r="B159" s="43">
        <v>2.0379999999999999E-3</v>
      </c>
      <c r="C159" s="43">
        <v>2.7678999999999999E-2</v>
      </c>
      <c r="D159" s="43">
        <v>5.0651000000000002E-2</v>
      </c>
      <c r="E159" s="43">
        <v>3.0730000000000002E-3</v>
      </c>
      <c r="F159" s="43">
        <v>1.4588E-2</v>
      </c>
      <c r="G159" s="43">
        <v>2.085E-2</v>
      </c>
      <c r="H159" s="44">
        <f t="shared" si="15"/>
        <v>2.2139630000000004E-2</v>
      </c>
      <c r="I159" s="48">
        <f t="shared" si="11"/>
        <v>-2.5518658999999999E-2</v>
      </c>
      <c r="J159" s="49">
        <f t="shared" si="12"/>
        <v>-140352.62450000001</v>
      </c>
      <c r="K159" s="48">
        <f t="shared" si="13"/>
        <v>-3.1349036666666663E-2</v>
      </c>
      <c r="L159" s="49">
        <f t="shared" si="14"/>
        <v>-172419.70166666666</v>
      </c>
      <c r="M159" s="45">
        <f t="shared" ca="1" si="16"/>
        <v>1.3548942276462458E-2</v>
      </c>
    </row>
    <row r="160" spans="1:13" x14ac:dyDescent="0.3">
      <c r="A160" s="38">
        <v>46149</v>
      </c>
      <c r="B160" s="43">
        <v>2.702E-3</v>
      </c>
      <c r="C160" s="43">
        <v>3.8229999999999996E-3</v>
      </c>
      <c r="D160" s="43">
        <v>3.7624999999999999E-2</v>
      </c>
      <c r="E160" s="43">
        <v>-7.4139999999999996E-3</v>
      </c>
      <c r="F160" s="43">
        <v>-3.8030000000000004E-3</v>
      </c>
      <c r="G160" s="43">
        <v>-1.232E-3</v>
      </c>
      <c r="H160" s="44">
        <f t="shared" si="15"/>
        <v>4.3909800000000001E-3</v>
      </c>
      <c r="I160" s="48">
        <f t="shared" si="11"/>
        <v>-1.8892533999999996E-2</v>
      </c>
      <c r="J160" s="49">
        <f t="shared" si="12"/>
        <v>-103908.93699999998</v>
      </c>
      <c r="K160" s="48">
        <f t="shared" si="13"/>
        <v>-3.0860176666666666E-2</v>
      </c>
      <c r="L160" s="49">
        <f t="shared" si="14"/>
        <v>-169730.97166666665</v>
      </c>
      <c r="M160" s="45">
        <f t="shared" ca="1" si="16"/>
        <v>1.2224895888464161E-2</v>
      </c>
    </row>
    <row r="161" spans="1:13" x14ac:dyDescent="0.3">
      <c r="A161" s="38">
        <v>46150</v>
      </c>
      <c r="B161" s="43">
        <v>-1.3489999999999999E-3</v>
      </c>
      <c r="C161" s="43">
        <v>4.3830000000000006E-3</v>
      </c>
      <c r="D161" s="43">
        <v>8.7080000000000005E-3</v>
      </c>
      <c r="E161" s="43">
        <v>2.0509999999999999E-3</v>
      </c>
      <c r="F161" s="43">
        <v>8.4259999999999995E-3</v>
      </c>
      <c r="G161" s="43">
        <v>2.3493E-2</v>
      </c>
      <c r="H161" s="44">
        <f t="shared" si="15"/>
        <v>5.8939100000000005E-3</v>
      </c>
      <c r="I161" s="48">
        <f t="shared" si="11"/>
        <v>-1.8892533999999996E-2</v>
      </c>
      <c r="J161" s="49">
        <f t="shared" si="12"/>
        <v>-103908.93699999998</v>
      </c>
      <c r="K161" s="48">
        <f t="shared" si="13"/>
        <v>-3.0860176666666666E-2</v>
      </c>
      <c r="L161" s="49">
        <f t="shared" si="14"/>
        <v>-169730.97166666665</v>
      </c>
      <c r="M161" s="45">
        <f t="shared" ca="1" si="16"/>
        <v>-1.6291292577025603E-2</v>
      </c>
    </row>
    <row r="162" spans="1:13" x14ac:dyDescent="0.3">
      <c r="A162" s="38">
        <v>46153</v>
      </c>
      <c r="B162" s="43">
        <v>3.1780000000000003E-3</v>
      </c>
      <c r="C162" s="43">
        <v>-3.5999999999999997E-4</v>
      </c>
      <c r="D162" s="43">
        <v>6.3311999999999993E-2</v>
      </c>
      <c r="E162" s="43">
        <v>1.85E-4</v>
      </c>
      <c r="F162" s="43">
        <v>1.8799999999999999E-3</v>
      </c>
      <c r="G162" s="43">
        <v>2.9299999999999999E-3</v>
      </c>
      <c r="H162" s="44">
        <f t="shared" si="15"/>
        <v>5.83966E-3</v>
      </c>
      <c r="I162" s="48">
        <f t="shared" si="11"/>
        <v>-1.8892533999999996E-2</v>
      </c>
      <c r="J162" s="49">
        <f t="shared" si="12"/>
        <v>-103908.93699999998</v>
      </c>
      <c r="K162" s="48">
        <f t="shared" si="13"/>
        <v>-3.0860176666666666E-2</v>
      </c>
      <c r="L162" s="49">
        <f t="shared" si="14"/>
        <v>-169730.97166666665</v>
      </c>
      <c r="M162" s="45">
        <f t="shared" ca="1" si="16"/>
        <v>-9.4840471875343862E-3</v>
      </c>
    </row>
    <row r="163" spans="1:13" x14ac:dyDescent="0.3">
      <c r="A163" s="38">
        <v>46154</v>
      </c>
      <c r="B163" s="43">
        <v>9.4200000000000002E-4</v>
      </c>
      <c r="C163" s="43">
        <v>-8.7100000000000007E-3</v>
      </c>
      <c r="D163" s="43">
        <v>-4.1530000000000004E-3</v>
      </c>
      <c r="E163" s="43">
        <v>2.3779999999999999E-3</v>
      </c>
      <c r="F163" s="43">
        <v>-1.603E-3</v>
      </c>
      <c r="G163" s="43">
        <v>-8.7260000000000011E-3</v>
      </c>
      <c r="H163" s="44">
        <f t="shared" si="15"/>
        <v>-5.4520300000000001E-3</v>
      </c>
      <c r="I163" s="48">
        <f t="shared" si="11"/>
        <v>-1.7301312499999996E-2</v>
      </c>
      <c r="J163" s="49">
        <f t="shared" si="12"/>
        <v>-95157.218749999971</v>
      </c>
      <c r="K163" s="48">
        <f t="shared" si="13"/>
        <v>-3.0860176666666666E-2</v>
      </c>
      <c r="L163" s="49">
        <f t="shared" si="14"/>
        <v>-169730.97166666665</v>
      </c>
      <c r="M163" s="45">
        <f t="shared" ca="1" si="16"/>
        <v>2.3024584189547154E-3</v>
      </c>
    </row>
    <row r="164" spans="1:13" x14ac:dyDescent="0.3">
      <c r="A164" s="38">
        <v>46155</v>
      </c>
      <c r="B164" s="43">
        <v>-3.7790000000000002E-3</v>
      </c>
      <c r="C164" s="43">
        <v>4.2970000000000005E-3</v>
      </c>
      <c r="D164" s="43">
        <v>4.4143999999999996E-2</v>
      </c>
      <c r="E164" s="43">
        <v>2.7980000000000001E-3</v>
      </c>
      <c r="F164" s="43">
        <v>5.849E-3</v>
      </c>
      <c r="G164" s="43">
        <v>1.0395000000000001E-2</v>
      </c>
      <c r="H164" s="44">
        <f t="shared" si="15"/>
        <v>6.9029599999999997E-3</v>
      </c>
      <c r="I164" s="48">
        <f t="shared" si="11"/>
        <v>-1.7301312499999996E-2</v>
      </c>
      <c r="J164" s="49">
        <f t="shared" si="12"/>
        <v>-95157.218749999971</v>
      </c>
      <c r="K164" s="48">
        <f t="shared" si="13"/>
        <v>-3.0860176666666666E-2</v>
      </c>
      <c r="L164" s="49">
        <f t="shared" si="14"/>
        <v>-169730.97166666665</v>
      </c>
      <c r="M164" s="45">
        <f t="shared" ca="1" si="16"/>
        <v>1.3848746185344393E-2</v>
      </c>
    </row>
    <row r="165" spans="1:13" x14ac:dyDescent="0.3">
      <c r="A165" s="38">
        <v>46156</v>
      </c>
      <c r="B165" s="43">
        <v>-1.652E-3</v>
      </c>
      <c r="C165" s="43">
        <v>-4.1720000000000004E-3</v>
      </c>
      <c r="D165" s="43">
        <v>-4.4729999999999999E-2</v>
      </c>
      <c r="E165" s="43">
        <v>1.142E-3</v>
      </c>
      <c r="F165" s="43">
        <v>7.6559999999999996E-3</v>
      </c>
      <c r="G165" s="43">
        <v>7.2650000000000006E-3</v>
      </c>
      <c r="H165" s="44">
        <f t="shared" si="15"/>
        <v>-4.38939E-3</v>
      </c>
      <c r="I165" s="48">
        <f t="shared" si="11"/>
        <v>-1.7301312499999996E-2</v>
      </c>
      <c r="J165" s="49">
        <f t="shared" si="12"/>
        <v>-95157.218749999971</v>
      </c>
      <c r="K165" s="48">
        <f t="shared" si="13"/>
        <v>-3.0860176666666666E-2</v>
      </c>
      <c r="L165" s="49">
        <f t="shared" si="14"/>
        <v>-169730.97166666665</v>
      </c>
      <c r="M165" s="45">
        <f t="shared" ca="1" si="16"/>
        <v>1.1184030895110979E-2</v>
      </c>
    </row>
    <row r="166" spans="1:13" x14ac:dyDescent="0.3">
      <c r="A166" s="38">
        <v>46157</v>
      </c>
      <c r="B166" s="43">
        <v>-4.6059999999999999E-3</v>
      </c>
      <c r="C166" s="43">
        <v>-2.6143E-2</v>
      </c>
      <c r="D166" s="43">
        <v>-9.1282999999999989E-2</v>
      </c>
      <c r="E166" s="43">
        <v>3.3639999999999998E-3</v>
      </c>
      <c r="F166" s="43">
        <v>-1.2362999999999999E-2</v>
      </c>
      <c r="G166" s="43">
        <v>-1.5384999999999999E-2</v>
      </c>
      <c r="H166" s="44">
        <f t="shared" si="15"/>
        <v>-2.3869210000000002E-2</v>
      </c>
      <c r="I166" s="48">
        <f t="shared" si="11"/>
        <v>-2.3948016000000003E-2</v>
      </c>
      <c r="J166" s="49">
        <f t="shared" si="12"/>
        <v>-131714.08800000002</v>
      </c>
      <c r="K166" s="48">
        <f t="shared" si="13"/>
        <v>-3.0860176666666666E-2</v>
      </c>
      <c r="L166" s="49">
        <f t="shared" si="14"/>
        <v>-169730.97166666665</v>
      </c>
      <c r="M166" s="45">
        <f t="shared" ca="1" si="16"/>
        <v>4.322786062076266E-4</v>
      </c>
    </row>
    <row r="167" spans="1:13" x14ac:dyDescent="0.3">
      <c r="A167" s="38">
        <v>46160</v>
      </c>
      <c r="B167" s="43">
        <v>-4.0879999999999996E-3</v>
      </c>
      <c r="C167" s="43">
        <v>-7.2400000000000003E-4</v>
      </c>
      <c r="D167" s="43">
        <v>-1.1409999999999999E-3</v>
      </c>
      <c r="E167" s="43">
        <v>2.9170000000000003E-3</v>
      </c>
      <c r="F167" s="43">
        <v>-7.36E-4</v>
      </c>
      <c r="G167" s="43">
        <v>-4.4919999999999995E-3</v>
      </c>
      <c r="H167" s="44">
        <f t="shared" si="15"/>
        <v>-1.38394E-3</v>
      </c>
      <c r="I167" s="48">
        <f t="shared" si="11"/>
        <v>-2.3948016000000003E-2</v>
      </c>
      <c r="J167" s="49">
        <f t="shared" si="12"/>
        <v>-131714.08800000002</v>
      </c>
      <c r="K167" s="48">
        <f t="shared" si="13"/>
        <v>-3.0860176666666666E-2</v>
      </c>
      <c r="L167" s="49">
        <f t="shared" si="14"/>
        <v>-169730.97166666665</v>
      </c>
      <c r="M167" s="45">
        <f t="shared" ca="1" si="16"/>
        <v>6.7585980900793088E-3</v>
      </c>
    </row>
    <row r="168" spans="1:13" x14ac:dyDescent="0.3">
      <c r="A168" s="38">
        <v>46161</v>
      </c>
      <c r="B168" s="43">
        <v>3.5079999999999998E-3</v>
      </c>
      <c r="C168" s="43">
        <v>-1.0147999999999999E-2</v>
      </c>
      <c r="D168" s="43">
        <v>-2.9127999999999998E-2</v>
      </c>
      <c r="E168" s="43">
        <v>1.07E-4</v>
      </c>
      <c r="F168" s="43">
        <v>-6.6779999999999999E-3</v>
      </c>
      <c r="G168" s="43">
        <v>-6.0540000000000004E-3</v>
      </c>
      <c r="H168" s="44">
        <f t="shared" si="15"/>
        <v>-8.2525399999999992E-3</v>
      </c>
      <c r="I168" s="48">
        <f t="shared" si="11"/>
        <v>-2.3948016000000003E-2</v>
      </c>
      <c r="J168" s="49">
        <f t="shared" si="12"/>
        <v>-131714.08800000002</v>
      </c>
      <c r="K168" s="48">
        <f t="shared" si="13"/>
        <v>-3.0860176666666666E-2</v>
      </c>
      <c r="L168" s="49">
        <f t="shared" si="14"/>
        <v>-169730.97166666665</v>
      </c>
      <c r="M168" s="45">
        <f t="shared" ca="1" si="16"/>
        <v>1.1434969273498843E-2</v>
      </c>
    </row>
    <row r="169" spans="1:13" x14ac:dyDescent="0.3">
      <c r="A169" s="38">
        <v>46162</v>
      </c>
      <c r="B169" s="43">
        <v>-4.1199999999999995E-3</v>
      </c>
      <c r="C169" s="43">
        <v>5.548E-3</v>
      </c>
      <c r="D169" s="43">
        <v>1.3670999999999999E-2</v>
      </c>
      <c r="E169" s="43">
        <v>1.0950000000000001E-3</v>
      </c>
      <c r="F169" s="43">
        <v>1.0792E-2</v>
      </c>
      <c r="G169" s="43">
        <v>1.6615999999999999E-2</v>
      </c>
      <c r="H169" s="44">
        <f t="shared" si="15"/>
        <v>6.0534199999999995E-3</v>
      </c>
      <c r="I169" s="48">
        <f t="shared" si="11"/>
        <v>-2.3948016000000003E-2</v>
      </c>
      <c r="J169" s="49">
        <f t="shared" si="12"/>
        <v>-131714.08800000002</v>
      </c>
      <c r="K169" s="48">
        <f t="shared" si="13"/>
        <v>-3.0860176666666666E-2</v>
      </c>
      <c r="L169" s="49">
        <f t="shared" si="14"/>
        <v>-169730.97166666665</v>
      </c>
      <c r="M169" s="45">
        <f t="shared" ca="1" si="16"/>
        <v>-8.7684199570112146E-3</v>
      </c>
    </row>
    <row r="170" spans="1:13" x14ac:dyDescent="0.3">
      <c r="A170" s="38">
        <v>46163</v>
      </c>
      <c r="B170" s="43">
        <v>1.5690000000000001E-3</v>
      </c>
      <c r="C170" s="43">
        <v>1.8759999999999998E-3</v>
      </c>
      <c r="D170" s="43">
        <v>7.4219999999999998E-3</v>
      </c>
      <c r="E170" s="43">
        <v>-9.2399999999999991E-4</v>
      </c>
      <c r="F170" s="43">
        <v>1.7150000000000002E-3</v>
      </c>
      <c r="G170" s="43">
        <v>2.0330000000000001E-3</v>
      </c>
      <c r="H170" s="44">
        <f t="shared" si="15"/>
        <v>2.1020500000000003E-3</v>
      </c>
      <c r="I170" s="48">
        <f t="shared" si="11"/>
        <v>-2.3948016000000003E-2</v>
      </c>
      <c r="J170" s="49">
        <f t="shared" si="12"/>
        <v>-131714.08800000002</v>
      </c>
      <c r="K170" s="48">
        <f t="shared" si="13"/>
        <v>-3.0860176666666666E-2</v>
      </c>
      <c r="L170" s="49">
        <f t="shared" si="14"/>
        <v>-169730.97166666665</v>
      </c>
      <c r="M170" s="45">
        <f t="shared" ca="1" si="16"/>
        <v>6.9596809889952425E-4</v>
      </c>
    </row>
    <row r="171" spans="1:13" x14ac:dyDescent="0.3">
      <c r="A171" s="38">
        <v>46164</v>
      </c>
      <c r="B171" s="43">
        <v>-3.5999999999999997E-4</v>
      </c>
      <c r="C171" s="43">
        <v>-4.1410000000000006E-3</v>
      </c>
      <c r="D171" s="43">
        <v>-6.8179999999999994E-3</v>
      </c>
      <c r="E171" s="43">
        <v>8.1799999999999993E-4</v>
      </c>
      <c r="F171" s="43">
        <v>3.7269999999999998E-3</v>
      </c>
      <c r="G171" s="43">
        <v>4.2360000000000002E-3</v>
      </c>
      <c r="H171" s="44">
        <f t="shared" si="15"/>
        <v>-1.8710600000000001E-3</v>
      </c>
      <c r="I171" s="48">
        <f t="shared" si="11"/>
        <v>-2.3948016000000003E-2</v>
      </c>
      <c r="J171" s="49">
        <f t="shared" si="12"/>
        <v>-131714.08800000002</v>
      </c>
      <c r="K171" s="48">
        <f t="shared" si="13"/>
        <v>-3.0860176666666666E-2</v>
      </c>
      <c r="L171" s="49">
        <f t="shared" si="14"/>
        <v>-169730.97166666665</v>
      </c>
      <c r="M171" s="45">
        <f t="shared" ca="1" si="16"/>
        <v>6.6829000507475306E-3</v>
      </c>
    </row>
    <row r="172" spans="1:13" x14ac:dyDescent="0.3">
      <c r="A172" s="38">
        <v>46167</v>
      </c>
      <c r="B172" s="43">
        <v>1.8160000000000001E-3</v>
      </c>
      <c r="C172" s="43">
        <v>0</v>
      </c>
      <c r="D172" s="43">
        <v>0</v>
      </c>
      <c r="E172" s="43">
        <v>-4.5300000000000001E-4</v>
      </c>
      <c r="F172" s="43">
        <v>0</v>
      </c>
      <c r="G172" s="43">
        <v>0</v>
      </c>
      <c r="H172" s="44">
        <f t="shared" si="15"/>
        <v>2.4521999999999999E-4</v>
      </c>
      <c r="I172" s="48">
        <f t="shared" si="11"/>
        <v>-2.3948016000000003E-2</v>
      </c>
      <c r="J172" s="49">
        <f t="shared" si="12"/>
        <v>-131714.08800000002</v>
      </c>
      <c r="K172" s="48">
        <f t="shared" si="13"/>
        <v>-3.0860176666666666E-2</v>
      </c>
      <c r="L172" s="49">
        <f t="shared" si="14"/>
        <v>-169730.97166666665</v>
      </c>
      <c r="M172" s="45">
        <f t="shared" ca="1" si="16"/>
        <v>-1.4109430609201315E-2</v>
      </c>
    </row>
    <row r="173" spans="1:13" x14ac:dyDescent="0.3">
      <c r="A173" s="38">
        <v>46168</v>
      </c>
      <c r="B173" s="43">
        <v>-4.1899999999999999E-4</v>
      </c>
      <c r="C173" s="43">
        <v>-4.5570000000000003E-3</v>
      </c>
      <c r="D173" s="43">
        <v>5.4290000000000007E-3</v>
      </c>
      <c r="E173" s="43">
        <v>5.0000000000000002E-5</v>
      </c>
      <c r="F173" s="43">
        <v>6.1079999999999997E-3</v>
      </c>
      <c r="G173" s="43">
        <v>1.7627E-2</v>
      </c>
      <c r="H173" s="44">
        <f t="shared" si="15"/>
        <v>3.0871000000000002E-4</v>
      </c>
      <c r="I173" s="48">
        <f t="shared" si="11"/>
        <v>-1.7222506499999998E-2</v>
      </c>
      <c r="J173" s="49">
        <f t="shared" si="12"/>
        <v>-94723.785749999995</v>
      </c>
      <c r="K173" s="48">
        <f t="shared" si="13"/>
        <v>-3.0334803333333337E-2</v>
      </c>
      <c r="L173" s="49">
        <f t="shared" si="14"/>
        <v>-166841.41833333336</v>
      </c>
      <c r="M173" s="45">
        <f t="shared" ca="1" si="16"/>
        <v>2.6768701846538234E-2</v>
      </c>
    </row>
    <row r="174" spans="1:13" x14ac:dyDescent="0.3">
      <c r="A174" s="38">
        <v>46169</v>
      </c>
      <c r="B174" s="43">
        <v>-4.7000000000000004E-5</v>
      </c>
      <c r="C174" s="43">
        <v>-1.1754000000000001E-2</v>
      </c>
      <c r="D174" s="43">
        <v>-2.2357999999999999E-2</v>
      </c>
      <c r="E174" s="43">
        <v>1.818E-3</v>
      </c>
      <c r="F174" s="43">
        <v>1.65E-4</v>
      </c>
      <c r="G174" s="43">
        <v>-9.2500000000000004E-4</v>
      </c>
      <c r="H174" s="44">
        <f t="shared" si="15"/>
        <v>-7.7462500000000005E-3</v>
      </c>
      <c r="I174" s="48">
        <f t="shared" si="11"/>
        <v>-1.7222506499999998E-2</v>
      </c>
      <c r="J174" s="49">
        <f t="shared" si="12"/>
        <v>-94723.785749999995</v>
      </c>
      <c r="K174" s="48">
        <f t="shared" si="13"/>
        <v>-3.0334803333333337E-2</v>
      </c>
      <c r="L174" s="49">
        <f t="shared" si="14"/>
        <v>-166841.41833333336</v>
      </c>
      <c r="M174" s="45">
        <f t="shared" ca="1" si="16"/>
        <v>-1.8725087780904433E-2</v>
      </c>
    </row>
    <row r="175" spans="1:13" x14ac:dyDescent="0.3">
      <c r="A175" s="38">
        <v>46170</v>
      </c>
      <c r="B175" s="43">
        <v>-1.6270000000000002E-3</v>
      </c>
      <c r="C175" s="43">
        <v>1.1647000000000001E-2</v>
      </c>
      <c r="D175" s="43">
        <v>1.4022E-2</v>
      </c>
      <c r="E175" s="43">
        <v>2.0409999999999998E-3</v>
      </c>
      <c r="F175" s="43">
        <v>5.7540000000000004E-3</v>
      </c>
      <c r="G175" s="43">
        <v>8.350999999999999E-3</v>
      </c>
      <c r="H175" s="44">
        <f t="shared" si="15"/>
        <v>8.324670000000001E-3</v>
      </c>
      <c r="I175" s="48">
        <f t="shared" si="11"/>
        <v>-1.7222506499999998E-2</v>
      </c>
      <c r="J175" s="49">
        <f t="shared" si="12"/>
        <v>-94723.785749999995</v>
      </c>
      <c r="K175" s="48">
        <f t="shared" si="13"/>
        <v>-3.0334803333333337E-2</v>
      </c>
      <c r="L175" s="49">
        <f t="shared" si="14"/>
        <v>-166841.41833333336</v>
      </c>
      <c r="M175" s="45">
        <f t="shared" ca="1" si="16"/>
        <v>1.0132149304462679E-3</v>
      </c>
    </row>
    <row r="176" spans="1:13" x14ac:dyDescent="0.3">
      <c r="A176" s="38">
        <v>46171</v>
      </c>
      <c r="B176" s="43">
        <v>3.006E-3</v>
      </c>
      <c r="C176" s="43">
        <v>1.3602000000000001E-2</v>
      </c>
      <c r="D176" s="43">
        <v>-3.8299999999999999E-4</v>
      </c>
      <c r="E176" s="43">
        <v>-1.867E-3</v>
      </c>
      <c r="F176" s="43">
        <v>2.1719999999999999E-3</v>
      </c>
      <c r="G176" s="43">
        <v>3.6159999999999999E-3</v>
      </c>
      <c r="H176" s="44">
        <f t="shared" si="15"/>
        <v>7.8096199999999998E-3</v>
      </c>
      <c r="I176" s="48">
        <f t="shared" si="11"/>
        <v>-1.7222506499999998E-2</v>
      </c>
      <c r="J176" s="49">
        <f t="shared" si="12"/>
        <v>-94723.785749999995</v>
      </c>
      <c r="K176" s="48">
        <f t="shared" si="13"/>
        <v>-3.0334803333333337E-2</v>
      </c>
      <c r="L176" s="49">
        <f t="shared" si="14"/>
        <v>-166841.41833333336</v>
      </c>
      <c r="M176" s="45">
        <f t="shared" ca="1" si="16"/>
        <v>-1.44366400426926E-2</v>
      </c>
    </row>
    <row r="177" spans="1:13" x14ac:dyDescent="0.3">
      <c r="A177" s="38">
        <v>46174</v>
      </c>
      <c r="B177" s="43">
        <v>-3.3799999999999998E-4</v>
      </c>
      <c r="C177" s="43">
        <v>-1.8704000000000002E-2</v>
      </c>
      <c r="D177" s="43">
        <v>-8.0540000000000004E-3</v>
      </c>
      <c r="E177" s="43">
        <v>5.2099999999999998E-4</v>
      </c>
      <c r="F177" s="43">
        <v>2.6250000000000002E-3</v>
      </c>
      <c r="G177" s="43">
        <v>5.9570000000000005E-3</v>
      </c>
      <c r="H177" s="44">
        <f t="shared" si="15"/>
        <v>-9.3779200000000014E-3</v>
      </c>
      <c r="I177" s="48">
        <f t="shared" si="11"/>
        <v>-1.7222506499999998E-2</v>
      </c>
      <c r="J177" s="49">
        <f t="shared" si="12"/>
        <v>-94723.785749999995</v>
      </c>
      <c r="K177" s="48">
        <f t="shared" si="13"/>
        <v>-3.0334803333333337E-2</v>
      </c>
      <c r="L177" s="49">
        <f t="shared" si="14"/>
        <v>-166841.41833333336</v>
      </c>
      <c r="M177" s="45">
        <f t="shared" ca="1" si="16"/>
        <v>2.2310458196304591E-3</v>
      </c>
    </row>
    <row r="178" spans="1:13" x14ac:dyDescent="0.3">
      <c r="A178" s="38">
        <v>46175</v>
      </c>
      <c r="B178" s="43">
        <v>-1.152E-3</v>
      </c>
      <c r="C178" s="43">
        <v>3.1059999999999998E-3</v>
      </c>
      <c r="D178" s="43">
        <v>4.0530000000000002E-3</v>
      </c>
      <c r="E178" s="43">
        <v>1.776E-3</v>
      </c>
      <c r="F178" s="43">
        <v>1.2920000000000002E-3</v>
      </c>
      <c r="G178" s="43">
        <v>4.8089999999999999E-3</v>
      </c>
      <c r="H178" s="44">
        <f t="shared" si="15"/>
        <v>2.4169899999999999E-3</v>
      </c>
      <c r="I178" s="48">
        <f t="shared" si="11"/>
        <v>-1.7222506499999998E-2</v>
      </c>
      <c r="J178" s="49">
        <f t="shared" si="12"/>
        <v>-94723.785749999995</v>
      </c>
      <c r="K178" s="48">
        <f t="shared" si="13"/>
        <v>-3.0334803333333337E-2</v>
      </c>
      <c r="L178" s="49">
        <f t="shared" si="14"/>
        <v>-166841.41833333336</v>
      </c>
      <c r="M178" s="45">
        <f t="shared" ca="1" si="16"/>
        <v>-3.4172580883541949E-3</v>
      </c>
    </row>
    <row r="179" spans="1:13" x14ac:dyDescent="0.3">
      <c r="A179" s="38">
        <v>46176</v>
      </c>
      <c r="B179" s="43">
        <v>-1.1509999999999999E-3</v>
      </c>
      <c r="C179" s="43">
        <v>-1.1672999999999999E-2</v>
      </c>
      <c r="D179" s="43">
        <v>-2.4365999999999999E-2</v>
      </c>
      <c r="E179" s="43">
        <v>2.0799999999999998E-3</v>
      </c>
      <c r="F179" s="43">
        <v>-7.3720000000000001E-3</v>
      </c>
      <c r="G179" s="43">
        <v>-2.9139999999999999E-3</v>
      </c>
      <c r="H179" s="44">
        <f t="shared" si="15"/>
        <v>-9.02354E-3</v>
      </c>
      <c r="I179" s="48">
        <f t="shared" si="11"/>
        <v>-1.7222506499999998E-2</v>
      </c>
      <c r="J179" s="49">
        <f t="shared" si="12"/>
        <v>-94723.785749999995</v>
      </c>
      <c r="K179" s="48">
        <f t="shared" si="13"/>
        <v>-3.0334803333333337E-2</v>
      </c>
      <c r="L179" s="49">
        <f t="shared" si="14"/>
        <v>-166841.41833333336</v>
      </c>
      <c r="M179" s="45">
        <f t="shared" ca="1" si="16"/>
        <v>-1.1273546333593201E-2</v>
      </c>
    </row>
    <row r="180" spans="1:13" x14ac:dyDescent="0.3">
      <c r="A180" s="38">
        <v>46177</v>
      </c>
      <c r="B180" s="43">
        <v>-1.091E-3</v>
      </c>
      <c r="C180" s="43">
        <v>8.8129999999999997E-3</v>
      </c>
      <c r="D180" s="43">
        <v>4.1240000000000001E-3</v>
      </c>
      <c r="E180" s="43">
        <v>-1.7500000000000003E-4</v>
      </c>
      <c r="F180" s="43">
        <v>4.0550000000000004E-3</v>
      </c>
      <c r="G180" s="43">
        <v>-5.3460000000000001E-3</v>
      </c>
      <c r="H180" s="44">
        <f t="shared" si="15"/>
        <v>4.6153100000000001E-3</v>
      </c>
      <c r="I180" s="48">
        <f t="shared" si="11"/>
        <v>-1.7222506499999998E-2</v>
      </c>
      <c r="J180" s="49">
        <f t="shared" si="12"/>
        <v>-94723.785749999995</v>
      </c>
      <c r="K180" s="48">
        <f t="shared" si="13"/>
        <v>-3.0334803333333337E-2</v>
      </c>
      <c r="L180" s="49">
        <f t="shared" si="14"/>
        <v>-166841.41833333336</v>
      </c>
      <c r="M180" s="45">
        <f t="shared" ca="1" si="16"/>
        <v>5.5794559878288791E-3</v>
      </c>
    </row>
    <row r="181" spans="1:13" x14ac:dyDescent="0.3">
      <c r="A181" s="38">
        <v>46178</v>
      </c>
      <c r="B181" s="43">
        <v>2.7900000000000001E-4</v>
      </c>
      <c r="C181" s="43">
        <v>-3.0988999999999999E-2</v>
      </c>
      <c r="D181" s="43">
        <v>-6.5547000000000008E-2</v>
      </c>
      <c r="E181" s="43">
        <v>3.1300000000000002E-4</v>
      </c>
      <c r="F181" s="43">
        <v>-2.6445E-2</v>
      </c>
      <c r="G181" s="43">
        <v>-4.7691999999999998E-2</v>
      </c>
      <c r="H181" s="44">
        <f t="shared" si="15"/>
        <v>-2.8188750000000002E-2</v>
      </c>
      <c r="I181" s="48">
        <f t="shared" si="11"/>
        <v>-2.4085187000000001E-2</v>
      </c>
      <c r="J181" s="49">
        <f t="shared" si="12"/>
        <v>-132468.52850000001</v>
      </c>
      <c r="K181" s="48">
        <f t="shared" si="13"/>
        <v>-3.1774650000000002E-2</v>
      </c>
      <c r="L181" s="49">
        <f t="shared" si="14"/>
        <v>-174760.57500000001</v>
      </c>
      <c r="M181" s="45">
        <f t="shared" ca="1" si="16"/>
        <v>3.899811474578567E-3</v>
      </c>
    </row>
    <row r="182" spans="1:13" x14ac:dyDescent="0.3">
      <c r="A182" s="38">
        <v>46181</v>
      </c>
      <c r="B182" s="43">
        <v>-7.7549999999999997E-3</v>
      </c>
      <c r="C182" s="43">
        <v>-2.7700000000000001E-4</v>
      </c>
      <c r="D182" s="43">
        <v>-7.5129999999999997E-3</v>
      </c>
      <c r="E182" s="43">
        <v>2.1060000000000002E-3</v>
      </c>
      <c r="F182" s="43">
        <v>2.9780000000000002E-3</v>
      </c>
      <c r="G182" s="43">
        <v>1.5769999999999999E-2</v>
      </c>
      <c r="H182" s="44">
        <f t="shared" si="15"/>
        <v>-3.2319999999999962E-5</v>
      </c>
      <c r="I182" s="48">
        <f t="shared" si="11"/>
        <v>-2.4085187000000001E-2</v>
      </c>
      <c r="J182" s="49">
        <f t="shared" si="12"/>
        <v>-132468.52850000001</v>
      </c>
      <c r="K182" s="48">
        <f t="shared" si="13"/>
        <v>-3.1774650000000002E-2</v>
      </c>
      <c r="L182" s="49">
        <f t="shared" si="14"/>
        <v>-174760.57500000001</v>
      </c>
      <c r="M182" s="45">
        <f t="shared" ca="1" si="16"/>
        <v>-1.8591663222986899E-3</v>
      </c>
    </row>
    <row r="183" spans="1:13" x14ac:dyDescent="0.3">
      <c r="A183" s="38">
        <v>46182</v>
      </c>
      <c r="B183" s="43">
        <v>5.0700000000000007E-4</v>
      </c>
      <c r="C183" s="43">
        <v>-1.7505E-2</v>
      </c>
      <c r="D183" s="43">
        <v>-4.8681000000000002E-2</v>
      </c>
      <c r="E183" s="43">
        <v>-9.5399999999999999E-4</v>
      </c>
      <c r="F183" s="43">
        <v>-2.5760000000000002E-3</v>
      </c>
      <c r="G183" s="43">
        <v>-1.1211E-2</v>
      </c>
      <c r="H183" s="44">
        <f t="shared" si="15"/>
        <v>-1.409557E-2</v>
      </c>
      <c r="I183" s="48">
        <f t="shared" si="11"/>
        <v>-2.4085187000000001E-2</v>
      </c>
      <c r="J183" s="49">
        <f t="shared" si="12"/>
        <v>-132468.52850000001</v>
      </c>
      <c r="K183" s="48">
        <f t="shared" si="13"/>
        <v>-3.1774650000000002E-2</v>
      </c>
      <c r="L183" s="49">
        <f t="shared" si="14"/>
        <v>-174760.57500000001</v>
      </c>
      <c r="M183" s="45">
        <f t="shared" ca="1" si="16"/>
        <v>9.1312719822943776E-3</v>
      </c>
    </row>
    <row r="184" spans="1:13" x14ac:dyDescent="0.3">
      <c r="A184" s="38">
        <v>46183</v>
      </c>
      <c r="B184" s="43">
        <v>5.9999999999999995E-4</v>
      </c>
      <c r="C184" s="43">
        <v>-3.5633999999999999E-2</v>
      </c>
      <c r="D184" s="43">
        <v>-7.6039999999999996E-3</v>
      </c>
      <c r="E184" s="43">
        <v>1.3109999999999999E-3</v>
      </c>
      <c r="F184" s="43">
        <v>-1.6198999999999998E-2</v>
      </c>
      <c r="G184" s="43">
        <v>-1.9820999999999998E-2</v>
      </c>
      <c r="H184" s="44">
        <f t="shared" si="15"/>
        <v>-2.2178779999999999E-2</v>
      </c>
      <c r="I184" s="48">
        <f t="shared" si="11"/>
        <v>-2.4085187000000001E-2</v>
      </c>
      <c r="J184" s="49">
        <f t="shared" si="12"/>
        <v>-132468.52850000001</v>
      </c>
      <c r="K184" s="48">
        <f t="shared" si="13"/>
        <v>-3.1774650000000002E-2</v>
      </c>
      <c r="L184" s="49">
        <f t="shared" si="14"/>
        <v>-174760.57500000001</v>
      </c>
      <c r="M184" s="45">
        <f t="shared" ca="1" si="16"/>
        <v>1.2029854268382422E-4</v>
      </c>
    </row>
    <row r="185" spans="1:13" x14ac:dyDescent="0.3">
      <c r="A185" s="38">
        <v>46184</v>
      </c>
      <c r="B185" s="43">
        <v>2.3E-5</v>
      </c>
      <c r="C185" s="43">
        <v>-4.3569999999999998E-3</v>
      </c>
      <c r="D185" s="43">
        <v>-1.1053E-2</v>
      </c>
      <c r="E185" s="43">
        <v>8.92E-4</v>
      </c>
      <c r="F185" s="43">
        <v>1.7519E-2</v>
      </c>
      <c r="G185" s="43">
        <v>3.2908E-2</v>
      </c>
      <c r="H185" s="44">
        <f t="shared" si="15"/>
        <v>1.8394699999999995E-3</v>
      </c>
      <c r="I185" s="48">
        <f t="shared" si="11"/>
        <v>-2.2263301499999999E-2</v>
      </c>
      <c r="J185" s="49">
        <f t="shared" si="12"/>
        <v>-122448.15824999999</v>
      </c>
      <c r="K185" s="48">
        <f t="shared" si="13"/>
        <v>-2.7091896666666667E-2</v>
      </c>
      <c r="L185" s="49">
        <f t="shared" si="14"/>
        <v>-149005.43166666667</v>
      </c>
      <c r="M185" s="45">
        <f t="shared" ca="1" si="16"/>
        <v>-2.0372785193970757E-2</v>
      </c>
    </row>
    <row r="186" spans="1:13" x14ac:dyDescent="0.3">
      <c r="A186" s="38">
        <v>46185</v>
      </c>
      <c r="B186" s="43">
        <v>3.4960000000000004E-3</v>
      </c>
      <c r="C186" s="43">
        <v>3.0487E-2</v>
      </c>
      <c r="D186" s="43">
        <v>6.2206000000000004E-2</v>
      </c>
      <c r="E186" s="43">
        <v>-2.4729999999999999E-3</v>
      </c>
      <c r="F186" s="43">
        <v>5.0260000000000001E-3</v>
      </c>
      <c r="G186" s="43">
        <v>6.4449999999999993E-3</v>
      </c>
      <c r="H186" s="44">
        <f t="shared" si="15"/>
        <v>2.2033779999999996E-2</v>
      </c>
      <c r="I186" s="48">
        <f t="shared" si="11"/>
        <v>-2.2263301499999999E-2</v>
      </c>
      <c r="J186" s="49">
        <f t="shared" si="12"/>
        <v>-122448.15824999999</v>
      </c>
      <c r="K186" s="48">
        <f t="shared" si="13"/>
        <v>-2.7091896666666667E-2</v>
      </c>
      <c r="L186" s="49">
        <f t="shared" si="14"/>
        <v>-149005.43166666667</v>
      </c>
      <c r="M186" s="45">
        <f t="shared" ca="1" si="16"/>
        <v>9.1485726959223274E-3</v>
      </c>
    </row>
    <row r="187" spans="1:13" x14ac:dyDescent="0.3">
      <c r="A187" s="38">
        <v>46188</v>
      </c>
      <c r="B187" s="43">
        <v>2.3440000000000002E-3</v>
      </c>
      <c r="C187" s="43">
        <v>2.6808999999999999E-2</v>
      </c>
      <c r="D187" s="43">
        <v>3.2522999999999996E-2</v>
      </c>
      <c r="E187" s="43">
        <v>-1.093E-3</v>
      </c>
      <c r="F187" s="43">
        <v>1.6528000000000001E-2</v>
      </c>
      <c r="G187" s="43">
        <v>3.0636999999999998E-2</v>
      </c>
      <c r="H187" s="44">
        <f t="shared" si="15"/>
        <v>2.1135859999999999E-2</v>
      </c>
      <c r="I187" s="48">
        <f t="shared" si="11"/>
        <v>-2.2263301499999999E-2</v>
      </c>
      <c r="J187" s="49">
        <f t="shared" si="12"/>
        <v>-122448.15824999999</v>
      </c>
      <c r="K187" s="48">
        <f t="shared" si="13"/>
        <v>-2.7091896666666667E-2</v>
      </c>
      <c r="L187" s="49">
        <f t="shared" si="14"/>
        <v>-149005.43166666667</v>
      </c>
      <c r="M187" s="45">
        <f t="shared" ca="1" si="16"/>
        <v>1.0076156356444778E-2</v>
      </c>
    </row>
    <row r="188" spans="1:13" x14ac:dyDescent="0.3">
      <c r="A188" s="38">
        <v>46189</v>
      </c>
      <c r="B188" s="43">
        <v>-7.6499999999999995E-4</v>
      </c>
      <c r="C188" s="43">
        <v>6.7000000000000002E-4</v>
      </c>
      <c r="D188" s="43">
        <v>-2.3830000000000001E-3</v>
      </c>
      <c r="E188" s="43">
        <v>1.7130000000000001E-3</v>
      </c>
      <c r="F188" s="43">
        <v>-5.6839999999999998E-3</v>
      </c>
      <c r="G188" s="43">
        <v>-1.8851E-2</v>
      </c>
      <c r="H188" s="44">
        <f t="shared" si="15"/>
        <v>-2.1827399999999999E-3</v>
      </c>
      <c r="I188" s="48">
        <f t="shared" si="11"/>
        <v>-2.2263301499999999E-2</v>
      </c>
      <c r="J188" s="49">
        <f t="shared" si="12"/>
        <v>-122448.15824999999</v>
      </c>
      <c r="K188" s="48">
        <f t="shared" si="13"/>
        <v>-2.7091896666666667E-2</v>
      </c>
      <c r="L188" s="49">
        <f t="shared" si="14"/>
        <v>-149005.43166666667</v>
      </c>
      <c r="M188" s="45">
        <f t="shared" ca="1" si="16"/>
        <v>-1.1679209112982539E-2</v>
      </c>
    </row>
    <row r="189" spans="1:13" x14ac:dyDescent="0.3">
      <c r="A189" s="38">
        <v>46190</v>
      </c>
      <c r="B189" s="43">
        <v>1.358E-3</v>
      </c>
      <c r="C189" s="43">
        <v>6.4649999999999994E-3</v>
      </c>
      <c r="D189" s="43">
        <v>1.1402000000000001E-2</v>
      </c>
      <c r="E189" s="43">
        <v>1.186E-3</v>
      </c>
      <c r="F189" s="43">
        <v>-1.2148000000000001E-2</v>
      </c>
      <c r="G189" s="43">
        <v>-9.9170000000000005E-3</v>
      </c>
      <c r="H189" s="44">
        <f t="shared" si="15"/>
        <v>2.2553599999999992E-3</v>
      </c>
      <c r="I189" s="48">
        <f t="shared" si="11"/>
        <v>-2.2263301499999999E-2</v>
      </c>
      <c r="J189" s="49">
        <f t="shared" si="12"/>
        <v>-122448.15824999999</v>
      </c>
      <c r="K189" s="48">
        <f t="shared" si="13"/>
        <v>-2.7091896666666667E-2</v>
      </c>
      <c r="L189" s="49">
        <f t="shared" si="14"/>
        <v>-149005.43166666667</v>
      </c>
      <c r="M189" s="45">
        <f t="shared" ca="1" si="16"/>
        <v>1.8948056117496503E-2</v>
      </c>
    </row>
    <row r="190" spans="1:13" x14ac:dyDescent="0.3">
      <c r="A190" s="38">
        <v>46191</v>
      </c>
      <c r="B190" s="43">
        <v>-8.8380000000000004E-3</v>
      </c>
      <c r="C190" s="43">
        <v>-3.0924999999999998E-2</v>
      </c>
      <c r="D190" s="43">
        <v>-6.2817999999999999E-2</v>
      </c>
      <c r="E190" s="43">
        <v>1.1279999999999999E-3</v>
      </c>
      <c r="F190" s="43">
        <v>1.0846E-2</v>
      </c>
      <c r="G190" s="43">
        <v>2.4780000000000003E-2</v>
      </c>
      <c r="H190" s="44">
        <f t="shared" si="15"/>
        <v>-1.8631949999999994E-2</v>
      </c>
      <c r="I190" s="48">
        <f t="shared" ref="I190:I251" si="17">_xlfn.PERCENTILE.INC(H131:H190, 0.05)</f>
        <v>-1.8809291499999995E-2</v>
      </c>
      <c r="J190" s="49">
        <f t="shared" ref="J190:J251" si="18">$K$8*I190</f>
        <v>-103451.10324999997</v>
      </c>
      <c r="K190" s="48">
        <f t="shared" ref="K190:K251" si="19">AVERAGEIF(H131:H190, "&lt;"&amp;I190)</f>
        <v>-2.474558E-2</v>
      </c>
      <c r="L190" s="49">
        <f t="shared" ref="L190:L251" si="20">$K$8*K190</f>
        <v>-136100.69</v>
      </c>
      <c r="M190" s="45">
        <f t="shared" ca="1" si="16"/>
        <v>1.2475074192045379E-2</v>
      </c>
    </row>
    <row r="191" spans="1:13" x14ac:dyDescent="0.3">
      <c r="A191" s="38">
        <v>46192</v>
      </c>
      <c r="B191" s="43">
        <v>-4.2399999999999998E-3</v>
      </c>
      <c r="C191" s="43">
        <v>0</v>
      </c>
      <c r="D191" s="43">
        <v>0</v>
      </c>
      <c r="E191" s="43">
        <v>4.2899999999999995E-3</v>
      </c>
      <c r="F191" s="43">
        <v>0</v>
      </c>
      <c r="G191" s="43">
        <v>0</v>
      </c>
      <c r="H191" s="44">
        <f t="shared" si="15"/>
        <v>-3.7859999999999999E-4</v>
      </c>
      <c r="I191" s="48">
        <f t="shared" si="17"/>
        <v>-1.8809291499999995E-2</v>
      </c>
      <c r="J191" s="49">
        <f t="shared" si="18"/>
        <v>-103451.10324999997</v>
      </c>
      <c r="K191" s="48">
        <f t="shared" si="19"/>
        <v>-2.474558E-2</v>
      </c>
      <c r="L191" s="49">
        <f t="shared" si="20"/>
        <v>-136100.69</v>
      </c>
      <c r="M191" s="45">
        <f t="shared" ca="1" si="16"/>
        <v>2.3600086586622791E-2</v>
      </c>
    </row>
    <row r="192" spans="1:13" x14ac:dyDescent="0.3">
      <c r="A192" s="38">
        <v>46195</v>
      </c>
      <c r="B192" s="43">
        <v>3.6700000000000003E-4</v>
      </c>
      <c r="C192" s="43">
        <v>-9.9900000000000006E-3</v>
      </c>
      <c r="D192" s="43">
        <v>-1.0988E-2</v>
      </c>
      <c r="E192" s="43">
        <v>8.9300000000000002E-4</v>
      </c>
      <c r="F192" s="43">
        <v>-3.705E-3</v>
      </c>
      <c r="G192" s="43">
        <v>-1.944E-3</v>
      </c>
      <c r="H192" s="44">
        <f t="shared" si="15"/>
        <v>-6.4478199999999999E-3</v>
      </c>
      <c r="I192" s="48">
        <f t="shared" si="17"/>
        <v>-1.8809291499999995E-2</v>
      </c>
      <c r="J192" s="49">
        <f t="shared" si="18"/>
        <v>-103451.10324999997</v>
      </c>
      <c r="K192" s="48">
        <f t="shared" si="19"/>
        <v>-2.474558E-2</v>
      </c>
      <c r="L192" s="49">
        <f t="shared" si="20"/>
        <v>-136100.69</v>
      </c>
      <c r="M192" s="45">
        <f t="shared" ca="1" si="16"/>
        <v>-1.3030737928857811E-2</v>
      </c>
    </row>
    <row r="193" spans="1:13" x14ac:dyDescent="0.3">
      <c r="A193" s="38">
        <v>46196</v>
      </c>
      <c r="B193" s="43">
        <v>-3.1080000000000001E-3</v>
      </c>
      <c r="C193" s="43">
        <v>-1.2435E-2</v>
      </c>
      <c r="D193" s="43">
        <v>-5.3520000000000005E-2</v>
      </c>
      <c r="E193" s="43">
        <v>8.4900000000000004E-4</v>
      </c>
      <c r="F193" s="43">
        <v>-1.4362999999999999E-2</v>
      </c>
      <c r="G193" s="43">
        <v>-3.2946000000000003E-2</v>
      </c>
      <c r="H193" s="44">
        <f t="shared" si="15"/>
        <v>-1.5583780000000002E-2</v>
      </c>
      <c r="I193" s="48">
        <f t="shared" si="17"/>
        <v>-1.8809291499999995E-2</v>
      </c>
      <c r="J193" s="49">
        <f t="shared" si="18"/>
        <v>-103451.10324999997</v>
      </c>
      <c r="K193" s="48">
        <f t="shared" si="19"/>
        <v>-2.474558E-2</v>
      </c>
      <c r="L193" s="49">
        <f t="shared" si="20"/>
        <v>-136100.69</v>
      </c>
      <c r="M193" s="45">
        <f t="shared" ca="1" si="16"/>
        <v>-1.877836956117665E-2</v>
      </c>
    </row>
    <row r="194" spans="1:13" x14ac:dyDescent="0.3">
      <c r="A194" s="38">
        <v>46197</v>
      </c>
      <c r="B194" s="43">
        <v>-4.1649999999999994E-3</v>
      </c>
      <c r="C194" s="43">
        <v>-3.3801999999999999E-2</v>
      </c>
      <c r="D194" s="43">
        <v>-6.3978999999999994E-2</v>
      </c>
      <c r="E194" s="43">
        <v>1.7899999999999999E-4</v>
      </c>
      <c r="F194" s="43">
        <v>-9.8299999999999993E-4</v>
      </c>
      <c r="G194" s="43">
        <v>-4.3350000000000003E-3</v>
      </c>
      <c r="H194" s="44">
        <f t="shared" ref="H194:H251" si="21">$J$2*B194+C194*$J$3+$J$4*D194+E194*$J$5+$J$6*F194+G194*$J$7</f>
        <v>-2.3469630000000002E-2</v>
      </c>
      <c r="I194" s="48">
        <f t="shared" si="17"/>
        <v>-2.2243322499999999E-2</v>
      </c>
      <c r="J194" s="49">
        <f t="shared" si="18"/>
        <v>-122338.27374999999</v>
      </c>
      <c r="K194" s="48">
        <f t="shared" si="19"/>
        <v>-2.5175863333333336E-2</v>
      </c>
      <c r="L194" s="49">
        <f t="shared" si="20"/>
        <v>-138467.24833333335</v>
      </c>
      <c r="M194" s="45">
        <f t="shared" ref="M194:M251" ca="1" si="22">NORMINV(RAND(), $J$20, $J$21)</f>
        <v>6.5683869003269784E-4</v>
      </c>
    </row>
    <row r="195" spans="1:13" x14ac:dyDescent="0.3">
      <c r="A195" s="38">
        <v>46198</v>
      </c>
      <c r="B195" s="43">
        <v>-2.225E-3</v>
      </c>
      <c r="C195" s="43">
        <v>1.0074000000000001E-2</v>
      </c>
      <c r="D195" s="43">
        <v>5.0990000000000002E-3</v>
      </c>
      <c r="E195" s="43">
        <v>1.0150000000000001E-3</v>
      </c>
      <c r="F195" s="43">
        <v>-9.9000000000000008E-5</v>
      </c>
      <c r="G195" s="43">
        <v>7.5380000000000004E-3</v>
      </c>
      <c r="H195" s="44">
        <f t="shared" si="21"/>
        <v>5.9403400000000006E-3</v>
      </c>
      <c r="I195" s="48">
        <f t="shared" si="17"/>
        <v>-2.2243322499999999E-2</v>
      </c>
      <c r="J195" s="49">
        <f t="shared" si="18"/>
        <v>-122338.27374999999</v>
      </c>
      <c r="K195" s="48">
        <f t="shared" si="19"/>
        <v>-2.5175863333333336E-2</v>
      </c>
      <c r="L195" s="49">
        <f t="shared" si="20"/>
        <v>-138467.24833333335</v>
      </c>
      <c r="M195" s="45">
        <f t="shared" ca="1" si="22"/>
        <v>1.6010948547079636E-2</v>
      </c>
    </row>
    <row r="196" spans="1:13" x14ac:dyDescent="0.3">
      <c r="A196" s="38">
        <v>46199</v>
      </c>
      <c r="B196" s="43">
        <v>6.5899999999999997E-4</v>
      </c>
      <c r="C196" s="43">
        <v>1.1958999999999999E-2</v>
      </c>
      <c r="D196" s="43">
        <v>1.4893E-2</v>
      </c>
      <c r="E196" s="43">
        <v>2.5999999999999998E-4</v>
      </c>
      <c r="F196" s="43">
        <v>-4.7199999999999998E-4</v>
      </c>
      <c r="G196" s="43">
        <v>-1.094E-2</v>
      </c>
      <c r="H196" s="44">
        <f t="shared" si="21"/>
        <v>6.3684600000000011E-3</v>
      </c>
      <c r="I196" s="48">
        <f t="shared" si="17"/>
        <v>-2.2243322499999999E-2</v>
      </c>
      <c r="J196" s="49">
        <f t="shared" si="18"/>
        <v>-122338.27374999999</v>
      </c>
      <c r="K196" s="48">
        <f t="shared" si="19"/>
        <v>-2.5175863333333336E-2</v>
      </c>
      <c r="L196" s="49">
        <f t="shared" si="20"/>
        <v>-138467.24833333335</v>
      </c>
      <c r="M196" s="45">
        <f t="shared" ca="1" si="22"/>
        <v>2.8016720037540004E-3</v>
      </c>
    </row>
    <row r="197" spans="1:13" x14ac:dyDescent="0.3">
      <c r="A197" s="38">
        <v>46202</v>
      </c>
      <c r="B197" s="43">
        <v>2.1060000000000002E-3</v>
      </c>
      <c r="C197" s="43">
        <v>-1.3828E-2</v>
      </c>
      <c r="D197" s="43">
        <v>-1.7596000000000001E-2</v>
      </c>
      <c r="E197" s="43">
        <v>-1.11E-4</v>
      </c>
      <c r="F197" s="43">
        <v>1.175E-2</v>
      </c>
      <c r="G197" s="43">
        <v>2.2546E-2</v>
      </c>
      <c r="H197" s="44">
        <f t="shared" si="21"/>
        <v>-4.8290799999999995E-3</v>
      </c>
      <c r="I197" s="48">
        <f t="shared" si="17"/>
        <v>-2.2243322499999999E-2</v>
      </c>
      <c r="J197" s="49">
        <f t="shared" si="18"/>
        <v>-122338.27374999999</v>
      </c>
      <c r="K197" s="48">
        <f t="shared" si="19"/>
        <v>-2.5175863333333336E-2</v>
      </c>
      <c r="L197" s="49">
        <f t="shared" si="20"/>
        <v>-138467.24833333335</v>
      </c>
      <c r="M197" s="45">
        <f t="shared" ca="1" si="22"/>
        <v>7.0818265633789323E-3</v>
      </c>
    </row>
    <row r="198" spans="1:13" x14ac:dyDescent="0.3">
      <c r="A198" s="38">
        <v>46203</v>
      </c>
      <c r="B198" s="43">
        <v>3.1979999999999999E-3</v>
      </c>
      <c r="C198" s="43">
        <v>1.4899999999999999E-4</v>
      </c>
      <c r="D198" s="43">
        <v>2.2381000000000002E-2</v>
      </c>
      <c r="E198" s="43">
        <v>8.4099999999999995E-4</v>
      </c>
      <c r="F198" s="43">
        <v>7.92E-3</v>
      </c>
      <c r="G198" s="43">
        <v>1.6846E-2</v>
      </c>
      <c r="H198" s="44">
        <f t="shared" si="21"/>
        <v>4.7839700000000002E-3</v>
      </c>
      <c r="I198" s="48">
        <f t="shared" si="17"/>
        <v>-2.2243322499999999E-2</v>
      </c>
      <c r="J198" s="49">
        <f t="shared" si="18"/>
        <v>-122338.27374999999</v>
      </c>
      <c r="K198" s="48">
        <f t="shared" si="19"/>
        <v>-2.5175863333333336E-2</v>
      </c>
      <c r="L198" s="49">
        <f t="shared" si="20"/>
        <v>-138467.24833333335</v>
      </c>
      <c r="M198" s="45">
        <f t="shared" ca="1" si="22"/>
        <v>-1.2779083907246424E-2</v>
      </c>
    </row>
    <row r="199" spans="1:13" x14ac:dyDescent="0.3">
      <c r="A199" s="38">
        <v>46204</v>
      </c>
      <c r="B199" s="43">
        <v>-7.6499999999999995E-4</v>
      </c>
      <c r="C199" s="43">
        <v>1.1285E-2</v>
      </c>
      <c r="D199" s="43">
        <v>1.0222E-2</v>
      </c>
      <c r="E199" s="43">
        <v>4.3540000000000002E-3</v>
      </c>
      <c r="F199" s="43">
        <v>-2.1510000000000001E-3</v>
      </c>
      <c r="G199" s="43">
        <v>-1.5432E-2</v>
      </c>
      <c r="H199" s="44">
        <f t="shared" si="21"/>
        <v>5.0941100000000007E-3</v>
      </c>
      <c r="I199" s="48">
        <f t="shared" si="17"/>
        <v>-2.2243322499999999E-2</v>
      </c>
      <c r="J199" s="49">
        <f t="shared" si="18"/>
        <v>-122338.27374999999</v>
      </c>
      <c r="K199" s="48">
        <f t="shared" si="19"/>
        <v>-2.5175863333333336E-2</v>
      </c>
      <c r="L199" s="49">
        <f t="shared" si="20"/>
        <v>-138467.24833333335</v>
      </c>
      <c r="M199" s="45">
        <f t="shared" ca="1" si="22"/>
        <v>-5.5100179485981157E-3</v>
      </c>
    </row>
    <row r="200" spans="1:13" x14ac:dyDescent="0.3">
      <c r="A200" s="38">
        <v>46205</v>
      </c>
      <c r="B200" s="43">
        <v>-3.0950000000000001E-3</v>
      </c>
      <c r="C200" s="43">
        <v>1.0914E-2</v>
      </c>
      <c r="D200" s="43">
        <v>9.2870000000000001E-3</v>
      </c>
      <c r="E200" s="43">
        <v>-5.4699999999999996E-4</v>
      </c>
      <c r="F200" s="43">
        <v>9.9999999999999995E-7</v>
      </c>
      <c r="G200" s="43">
        <v>-1.61E-2</v>
      </c>
      <c r="H200" s="44">
        <f t="shared" si="21"/>
        <v>4.3631399999999997E-3</v>
      </c>
      <c r="I200" s="48">
        <f t="shared" si="17"/>
        <v>-2.2243322499999999E-2</v>
      </c>
      <c r="J200" s="49">
        <f t="shared" si="18"/>
        <v>-122338.27374999999</v>
      </c>
      <c r="K200" s="48">
        <f t="shared" si="19"/>
        <v>-2.5175863333333336E-2</v>
      </c>
      <c r="L200" s="49">
        <f t="shared" si="20"/>
        <v>-138467.24833333335</v>
      </c>
      <c r="M200" s="45">
        <f t="shared" ca="1" si="22"/>
        <v>5.1851225373752714E-3</v>
      </c>
    </row>
    <row r="201" spans="1:13" x14ac:dyDescent="0.3">
      <c r="A201" s="38">
        <v>46206</v>
      </c>
      <c r="B201" s="43">
        <v>3.9290000000000002E-3</v>
      </c>
      <c r="C201" s="43">
        <v>0</v>
      </c>
      <c r="D201" s="43">
        <v>0</v>
      </c>
      <c r="E201" s="43">
        <v>-6.7060000000000002E-3</v>
      </c>
      <c r="F201" s="43">
        <v>0</v>
      </c>
      <c r="G201" s="43">
        <v>0</v>
      </c>
      <c r="H201" s="44">
        <f t="shared" si="21"/>
        <v>1.8699E-4</v>
      </c>
      <c r="I201" s="48">
        <f t="shared" si="17"/>
        <v>-2.2243322499999999E-2</v>
      </c>
      <c r="J201" s="49">
        <f t="shared" si="18"/>
        <v>-122338.27374999999</v>
      </c>
      <c r="K201" s="48">
        <f t="shared" si="19"/>
        <v>-2.5175863333333336E-2</v>
      </c>
      <c r="L201" s="49">
        <f t="shared" si="20"/>
        <v>-138467.24833333335</v>
      </c>
      <c r="M201" s="45">
        <f t="shared" ca="1" si="22"/>
        <v>9.3515493543511949E-3</v>
      </c>
    </row>
    <row r="202" spans="1:13" x14ac:dyDescent="0.3">
      <c r="A202" s="38">
        <v>46209</v>
      </c>
      <c r="B202" s="43">
        <v>1.315E-3</v>
      </c>
      <c r="C202" s="43">
        <v>1.031E-2</v>
      </c>
      <c r="D202" s="43">
        <v>2.1058E-2</v>
      </c>
      <c r="E202" s="43">
        <v>1.9000000000000001E-5</v>
      </c>
      <c r="F202" s="43">
        <v>7.2419999999999993E-3</v>
      </c>
      <c r="G202" s="43">
        <v>1.257E-2</v>
      </c>
      <c r="H202" s="44">
        <f t="shared" si="21"/>
        <v>9.0690500000000004E-3</v>
      </c>
      <c r="I202" s="48">
        <f t="shared" si="17"/>
        <v>-2.2243322499999999E-2</v>
      </c>
      <c r="J202" s="49">
        <f t="shared" si="18"/>
        <v>-122338.27374999999</v>
      </c>
      <c r="K202" s="48">
        <f t="shared" si="19"/>
        <v>-2.5175863333333336E-2</v>
      </c>
      <c r="L202" s="49">
        <f t="shared" si="20"/>
        <v>-138467.24833333335</v>
      </c>
      <c r="M202" s="45">
        <f t="shared" ca="1" si="22"/>
        <v>-3.8272816926831904E-3</v>
      </c>
    </row>
    <row r="203" spans="1:13" x14ac:dyDescent="0.3">
      <c r="A203" s="38">
        <v>46210</v>
      </c>
      <c r="B203" s="43">
        <v>3.5499999999999996E-4</v>
      </c>
      <c r="C203" s="43">
        <v>-2.359E-3</v>
      </c>
      <c r="D203" s="43">
        <v>-1.5972E-2</v>
      </c>
      <c r="E203" s="43">
        <v>3.9389999999999998E-3</v>
      </c>
      <c r="F203" s="43">
        <v>-4.4549999999999998E-3</v>
      </c>
      <c r="G203" s="43">
        <v>-1.7673000000000001E-2</v>
      </c>
      <c r="H203" s="44">
        <f t="shared" si="21"/>
        <v>-4.2718800000000005E-3</v>
      </c>
      <c r="I203" s="48">
        <f t="shared" si="17"/>
        <v>-2.2243322499999999E-2</v>
      </c>
      <c r="J203" s="49">
        <f t="shared" si="18"/>
        <v>-122338.27374999999</v>
      </c>
      <c r="K203" s="48">
        <f t="shared" si="19"/>
        <v>-2.5175863333333336E-2</v>
      </c>
      <c r="L203" s="49">
        <f t="shared" si="20"/>
        <v>-138467.24833333335</v>
      </c>
      <c r="M203" s="45">
        <f t="shared" ca="1" si="22"/>
        <v>2.0204004445239709E-3</v>
      </c>
    </row>
    <row r="204" spans="1:13" x14ac:dyDescent="0.3">
      <c r="A204" s="38">
        <v>46211</v>
      </c>
      <c r="B204" s="43">
        <v>-3.3179999999999998E-3</v>
      </c>
      <c r="C204" s="43">
        <v>-1.7947999999999999E-2</v>
      </c>
      <c r="D204" s="43">
        <v>-4.5412000000000001E-2</v>
      </c>
      <c r="E204" s="43">
        <v>1.6969999999999999E-3</v>
      </c>
      <c r="F204" s="43">
        <v>-2.8170000000000001E-3</v>
      </c>
      <c r="G204" s="43">
        <v>2.7269999999999998E-3</v>
      </c>
      <c r="H204" s="44">
        <f t="shared" si="21"/>
        <v>-1.324676E-2</v>
      </c>
      <c r="I204" s="48">
        <f t="shared" si="17"/>
        <v>-2.2243322499999999E-2</v>
      </c>
      <c r="J204" s="49">
        <f t="shared" si="18"/>
        <v>-122338.27374999999</v>
      </c>
      <c r="K204" s="48">
        <f t="shared" si="19"/>
        <v>-2.5175863333333336E-2</v>
      </c>
      <c r="L204" s="49">
        <f t="shared" si="20"/>
        <v>-138467.24833333335</v>
      </c>
      <c r="M204" s="45">
        <f t="shared" ca="1" si="22"/>
        <v>-1.7694530938133887E-2</v>
      </c>
    </row>
    <row r="205" spans="1:13" x14ac:dyDescent="0.3">
      <c r="A205" s="38">
        <v>46212</v>
      </c>
      <c r="B205" s="43">
        <v>1.5989999999999999E-3</v>
      </c>
      <c r="C205" s="43">
        <v>1.4664999999999999E-2</v>
      </c>
      <c r="D205" s="43">
        <v>3.8065000000000002E-2</v>
      </c>
      <c r="E205" s="43">
        <v>1.0839999999999999E-3</v>
      </c>
      <c r="F205" s="43">
        <v>8.1430000000000009E-3</v>
      </c>
      <c r="G205" s="43">
        <v>1.6222E-2</v>
      </c>
      <c r="H205" s="44">
        <f t="shared" si="21"/>
        <v>1.3184950000000001E-2</v>
      </c>
      <c r="I205" s="48">
        <f t="shared" si="17"/>
        <v>-2.2243322499999999E-2</v>
      </c>
      <c r="J205" s="49">
        <f t="shared" si="18"/>
        <v>-122338.27374999999</v>
      </c>
      <c r="K205" s="48">
        <f t="shared" si="19"/>
        <v>-2.5175863333333336E-2</v>
      </c>
      <c r="L205" s="49">
        <f t="shared" si="20"/>
        <v>-138467.24833333335</v>
      </c>
      <c r="M205" s="45">
        <f t="shared" ca="1" si="22"/>
        <v>8.8508188939002562E-4</v>
      </c>
    </row>
    <row r="206" spans="1:13" x14ac:dyDescent="0.3">
      <c r="A206" s="38">
        <v>46213</v>
      </c>
      <c r="B206" s="43">
        <v>9.9500000000000001E-4</v>
      </c>
      <c r="C206" s="43">
        <v>-6.4159999999999998E-3</v>
      </c>
      <c r="D206" s="43">
        <v>-9.4240000000000001E-3</v>
      </c>
      <c r="E206" s="43">
        <v>-1.083E-3</v>
      </c>
      <c r="F206" s="43">
        <v>4.2090000000000001E-3</v>
      </c>
      <c r="G206" s="43">
        <v>3.297E-3</v>
      </c>
      <c r="H206" s="44">
        <f t="shared" si="21"/>
        <v>-3.1820899999999998E-3</v>
      </c>
      <c r="I206" s="48">
        <f t="shared" si="17"/>
        <v>-2.2243322499999999E-2</v>
      </c>
      <c r="J206" s="49">
        <f t="shared" si="18"/>
        <v>-122338.27374999999</v>
      </c>
      <c r="K206" s="48">
        <f t="shared" si="19"/>
        <v>-2.5175863333333336E-2</v>
      </c>
      <c r="L206" s="49">
        <f t="shared" si="20"/>
        <v>-138467.24833333335</v>
      </c>
      <c r="M206" s="45">
        <f t="shared" ca="1" si="22"/>
        <v>-1.0176479285724407E-3</v>
      </c>
    </row>
    <row r="207" spans="1:13" x14ac:dyDescent="0.3">
      <c r="A207" s="38">
        <v>46216</v>
      </c>
      <c r="B207" s="43">
        <v>-2.532E-3</v>
      </c>
      <c r="C207" s="43">
        <v>-2.6095999999999998E-2</v>
      </c>
      <c r="D207" s="43">
        <v>-3.6366000000000002E-2</v>
      </c>
      <c r="E207" s="43">
        <v>-2.9870000000000001E-3</v>
      </c>
      <c r="F207" s="43">
        <v>-7.927E-3</v>
      </c>
      <c r="G207" s="43">
        <v>-1.881E-2</v>
      </c>
      <c r="H207" s="44">
        <f t="shared" si="21"/>
        <v>-1.9342130000000003E-2</v>
      </c>
      <c r="I207" s="48">
        <f t="shared" si="17"/>
        <v>-2.2243322499999999E-2</v>
      </c>
      <c r="J207" s="49">
        <f t="shared" si="18"/>
        <v>-122338.27374999999</v>
      </c>
      <c r="K207" s="48">
        <f t="shared" si="19"/>
        <v>-2.5175863333333336E-2</v>
      </c>
      <c r="L207" s="49">
        <f t="shared" si="20"/>
        <v>-138467.24833333335</v>
      </c>
      <c r="M207" s="45">
        <f t="shared" ca="1" si="22"/>
        <v>-2.3901436947890334E-2</v>
      </c>
    </row>
    <row r="208" spans="1:13" x14ac:dyDescent="0.3">
      <c r="A208" s="38">
        <v>46217</v>
      </c>
      <c r="B208" s="43">
        <v>-1.7649999999999999E-3</v>
      </c>
      <c r="C208" s="43">
        <v>1.6036999999999999E-2</v>
      </c>
      <c r="D208" s="43">
        <v>1.9744999999999999E-2</v>
      </c>
      <c r="E208" s="43">
        <v>3.4039999999999999E-3</v>
      </c>
      <c r="F208" s="43">
        <v>3.7590000000000002E-3</v>
      </c>
      <c r="G208" s="43">
        <v>1.1009999999999999E-2</v>
      </c>
      <c r="H208" s="44">
        <f t="shared" si="21"/>
        <v>1.110235E-2</v>
      </c>
      <c r="I208" s="48">
        <f t="shared" si="17"/>
        <v>-2.2243322499999999E-2</v>
      </c>
      <c r="J208" s="49">
        <f t="shared" si="18"/>
        <v>-122338.27374999999</v>
      </c>
      <c r="K208" s="48">
        <f t="shared" si="19"/>
        <v>-2.5175863333333336E-2</v>
      </c>
      <c r="L208" s="49">
        <f t="shared" si="20"/>
        <v>-138467.24833333335</v>
      </c>
      <c r="M208" s="45">
        <f t="shared" ca="1" si="22"/>
        <v>1.0723612835489943E-2</v>
      </c>
    </row>
    <row r="209" spans="1:13" x14ac:dyDescent="0.3">
      <c r="A209" s="38">
        <v>46218</v>
      </c>
      <c r="B209" s="43">
        <v>3.542E-3</v>
      </c>
      <c r="C209" s="43">
        <v>-4.2109999999999995E-3</v>
      </c>
      <c r="D209" s="43">
        <v>-2.8279000000000002E-2</v>
      </c>
      <c r="E209" s="43">
        <v>-1.49E-3</v>
      </c>
      <c r="F209" s="43">
        <v>3.8190000000000003E-3</v>
      </c>
      <c r="G209" s="43">
        <v>-2.8289999999999999E-3</v>
      </c>
      <c r="H209" s="44">
        <f t="shared" si="21"/>
        <v>-3.80255E-3</v>
      </c>
      <c r="I209" s="48">
        <f t="shared" si="17"/>
        <v>-2.2243322499999999E-2</v>
      </c>
      <c r="J209" s="49">
        <f t="shared" si="18"/>
        <v>-122338.27374999999</v>
      </c>
      <c r="K209" s="48">
        <f t="shared" si="19"/>
        <v>-2.5175863333333336E-2</v>
      </c>
      <c r="L209" s="49">
        <f t="shared" si="20"/>
        <v>-138467.24833333335</v>
      </c>
      <c r="M209" s="45">
        <f t="shared" ca="1" si="22"/>
        <v>4.4176471964184436E-4</v>
      </c>
    </row>
    <row r="210" spans="1:13" x14ac:dyDescent="0.3">
      <c r="A210" s="38">
        <v>46219</v>
      </c>
      <c r="B210" s="43">
        <v>3.9919999999999999E-3</v>
      </c>
      <c r="C210" s="43">
        <v>-1.4440999999999999E-2</v>
      </c>
      <c r="D210" s="43">
        <v>-2.1221999999999998E-2</v>
      </c>
      <c r="E210" s="43">
        <v>-7.0899999999999999E-4</v>
      </c>
      <c r="F210" s="43">
        <v>-5.1009999999999996E-3</v>
      </c>
      <c r="G210" s="43">
        <v>-1.6161999999999999E-2</v>
      </c>
      <c r="H210" s="44">
        <f t="shared" si="21"/>
        <v>-1.0522100000000001E-2</v>
      </c>
      <c r="I210" s="48">
        <f t="shared" si="17"/>
        <v>-2.2243322499999999E-2</v>
      </c>
      <c r="J210" s="49">
        <f t="shared" si="18"/>
        <v>-122338.27374999999</v>
      </c>
      <c r="K210" s="48">
        <f t="shared" si="19"/>
        <v>-2.5175863333333336E-2</v>
      </c>
      <c r="L210" s="49">
        <f t="shared" si="20"/>
        <v>-138467.24833333335</v>
      </c>
      <c r="M210" s="45">
        <f t="shared" ca="1" si="22"/>
        <v>-1.2511035263608599E-2</v>
      </c>
    </row>
    <row r="211" spans="1:13" x14ac:dyDescent="0.3">
      <c r="A211" s="38">
        <v>46220</v>
      </c>
      <c r="B211" s="43">
        <v>-2.232E-3</v>
      </c>
      <c r="C211" s="43">
        <v>6.7989999999999995E-3</v>
      </c>
      <c r="D211" s="43">
        <v>2.5049999999999998E-3</v>
      </c>
      <c r="E211" s="43">
        <v>1.8759999999999998E-3</v>
      </c>
      <c r="F211" s="43">
        <v>-1.0099E-2</v>
      </c>
      <c r="G211" s="43">
        <v>-1.4922E-2</v>
      </c>
      <c r="H211" s="44">
        <f t="shared" si="21"/>
        <v>9.9177999999999918E-4</v>
      </c>
      <c r="I211" s="48">
        <f t="shared" si="17"/>
        <v>-2.2243322499999999E-2</v>
      </c>
      <c r="J211" s="49">
        <f t="shared" si="18"/>
        <v>-122338.27374999999</v>
      </c>
      <c r="K211" s="48">
        <f t="shared" si="19"/>
        <v>-2.5175863333333336E-2</v>
      </c>
      <c r="L211" s="49">
        <f t="shared" si="20"/>
        <v>-138467.24833333335</v>
      </c>
      <c r="M211" s="45">
        <f t="shared" ca="1" si="22"/>
        <v>1.1236502182796176E-2</v>
      </c>
    </row>
    <row r="212" spans="1:13" x14ac:dyDescent="0.3">
      <c r="A212" s="38">
        <v>46223</v>
      </c>
      <c r="B212" s="43">
        <v>-1.4860000000000001E-3</v>
      </c>
      <c r="C212" s="43">
        <v>-5.9800000000000001E-4</v>
      </c>
      <c r="D212" s="43">
        <v>1.3634E-2</v>
      </c>
      <c r="E212" s="43">
        <v>8.3699999999999996E-4</v>
      </c>
      <c r="F212" s="43">
        <v>-1.9320000000000001E-3</v>
      </c>
      <c r="G212" s="43">
        <v>4.0500000000000003E-4</v>
      </c>
      <c r="H212" s="44">
        <f t="shared" si="21"/>
        <v>4.3699000000000011E-4</v>
      </c>
      <c r="I212" s="48">
        <f t="shared" si="17"/>
        <v>-2.2243322499999999E-2</v>
      </c>
      <c r="J212" s="49">
        <f t="shared" si="18"/>
        <v>-122338.27374999999</v>
      </c>
      <c r="K212" s="48">
        <f t="shared" si="19"/>
        <v>-2.5175863333333336E-2</v>
      </c>
      <c r="L212" s="49">
        <f t="shared" si="20"/>
        <v>-138467.24833333335</v>
      </c>
      <c r="M212" s="45">
        <f t="shared" ca="1" si="22"/>
        <v>-1.612101086650506E-2</v>
      </c>
    </row>
    <row r="213" spans="1:13" x14ac:dyDescent="0.3">
      <c r="A213" s="38">
        <v>46224</v>
      </c>
      <c r="B213" s="43">
        <v>-8.34E-4</v>
      </c>
      <c r="C213" s="43">
        <v>1.5161000000000001E-2</v>
      </c>
      <c r="D213" s="43">
        <v>3.5790999999999996E-2</v>
      </c>
      <c r="E213" s="43">
        <v>-1.54E-4</v>
      </c>
      <c r="F213" s="43">
        <v>8.856000000000001E-3</v>
      </c>
      <c r="G213" s="43">
        <v>1.9261E-2</v>
      </c>
      <c r="H213" s="44">
        <f t="shared" si="21"/>
        <v>1.31687E-2</v>
      </c>
      <c r="I213" s="48">
        <f t="shared" si="17"/>
        <v>-2.2243322499999999E-2</v>
      </c>
      <c r="J213" s="49">
        <f t="shared" si="18"/>
        <v>-122338.27374999999</v>
      </c>
      <c r="K213" s="48">
        <f t="shared" si="19"/>
        <v>-2.5175863333333336E-2</v>
      </c>
      <c r="L213" s="49">
        <f t="shared" si="20"/>
        <v>-138467.24833333335</v>
      </c>
      <c r="M213" s="45">
        <f t="shared" ca="1" si="22"/>
        <v>-5.6708370003724596E-3</v>
      </c>
    </row>
    <row r="214" spans="1:13" x14ac:dyDescent="0.3">
      <c r="A214" s="38">
        <v>46225</v>
      </c>
      <c r="B214" s="43">
        <v>-1.2540000000000001E-3</v>
      </c>
      <c r="C214" s="43">
        <v>1.8619E-2</v>
      </c>
      <c r="D214" s="43">
        <v>2.0124E-2</v>
      </c>
      <c r="E214" s="43">
        <v>4.3020000000000003E-3</v>
      </c>
      <c r="F214" s="43">
        <v>-1.364E-3</v>
      </c>
      <c r="G214" s="43">
        <v>-5.3879999999999996E-3</v>
      </c>
      <c r="H214" s="44">
        <f t="shared" si="21"/>
        <v>1.0540670000000002E-2</v>
      </c>
      <c r="I214" s="48">
        <f t="shared" si="17"/>
        <v>-2.2243322499999999E-2</v>
      </c>
      <c r="J214" s="49">
        <f t="shared" si="18"/>
        <v>-122338.27374999999</v>
      </c>
      <c r="K214" s="48">
        <f t="shared" si="19"/>
        <v>-2.5175863333333336E-2</v>
      </c>
      <c r="L214" s="49">
        <f t="shared" si="20"/>
        <v>-138467.24833333335</v>
      </c>
      <c r="M214" s="45">
        <f t="shared" ca="1" si="22"/>
        <v>2.5738202695149842E-2</v>
      </c>
    </row>
    <row r="215" spans="1:13" x14ac:dyDescent="0.3">
      <c r="A215" s="38">
        <v>46226</v>
      </c>
      <c r="B215" s="43">
        <v>6.96E-4</v>
      </c>
      <c r="C215" s="43">
        <v>-2.4187E-2</v>
      </c>
      <c r="D215" s="43">
        <v>-3.7004999999999996E-2</v>
      </c>
      <c r="E215" s="43">
        <v>-6.4400000000000004E-4</v>
      </c>
      <c r="F215" s="43">
        <v>-1.209E-2</v>
      </c>
      <c r="G215" s="43">
        <v>-1.8734999999999998E-2</v>
      </c>
      <c r="H215" s="44">
        <f t="shared" si="21"/>
        <v>-1.8246060000000001E-2</v>
      </c>
      <c r="I215" s="48">
        <f t="shared" si="17"/>
        <v>-2.2243322499999999E-2</v>
      </c>
      <c r="J215" s="49">
        <f t="shared" si="18"/>
        <v>-122338.27374999999</v>
      </c>
      <c r="K215" s="48">
        <f t="shared" si="19"/>
        <v>-2.5175863333333336E-2</v>
      </c>
      <c r="L215" s="49">
        <f t="shared" si="20"/>
        <v>-138467.24833333335</v>
      </c>
      <c r="M215" s="45">
        <f t="shared" ca="1" si="22"/>
        <v>-1.4145886785532971E-4</v>
      </c>
    </row>
    <row r="216" spans="1:13" x14ac:dyDescent="0.3">
      <c r="A216" s="38">
        <v>46227</v>
      </c>
      <c r="B216" s="43">
        <v>-3.0599999999999998E-3</v>
      </c>
      <c r="C216" s="43">
        <v>5.1900000000000002E-3</v>
      </c>
      <c r="D216" s="43">
        <v>1.4844999999999999E-2</v>
      </c>
      <c r="E216" s="43">
        <v>4.6050000000000006E-3</v>
      </c>
      <c r="F216" s="43">
        <v>4.9700000000000005E-4</v>
      </c>
      <c r="G216" s="43">
        <v>-1.1473000000000001E-2</v>
      </c>
      <c r="H216" s="44">
        <f t="shared" si="21"/>
        <v>2.6739000000000008E-3</v>
      </c>
      <c r="I216" s="48">
        <f t="shared" si="17"/>
        <v>-2.2243322499999999E-2</v>
      </c>
      <c r="J216" s="49">
        <f t="shared" si="18"/>
        <v>-122338.27374999999</v>
      </c>
      <c r="K216" s="48">
        <f t="shared" si="19"/>
        <v>-2.5175863333333336E-2</v>
      </c>
      <c r="L216" s="49">
        <f t="shared" si="20"/>
        <v>-138467.24833333335</v>
      </c>
      <c r="M216" s="45">
        <f t="shared" ca="1" si="22"/>
        <v>1.1885651554559742E-3</v>
      </c>
    </row>
    <row r="217" spans="1:13" x14ac:dyDescent="0.3">
      <c r="A217" s="38">
        <v>46230</v>
      </c>
      <c r="B217" s="43">
        <v>1.5950000000000001E-3</v>
      </c>
      <c r="C217" s="43">
        <v>1.696E-3</v>
      </c>
      <c r="D217" s="43">
        <v>-3.1369999999999996E-3</v>
      </c>
      <c r="E217" s="43">
        <v>-1.3489999999999999E-3</v>
      </c>
      <c r="F217" s="43">
        <v>1.6199999999999998E-4</v>
      </c>
      <c r="G217" s="43">
        <v>-3.1689999999999999E-3</v>
      </c>
      <c r="H217" s="44">
        <f t="shared" si="21"/>
        <v>5.0492000000000006E-4</v>
      </c>
      <c r="I217" s="48">
        <f t="shared" si="17"/>
        <v>-2.2243322499999999E-2</v>
      </c>
      <c r="J217" s="49">
        <f t="shared" si="18"/>
        <v>-122338.27374999999</v>
      </c>
      <c r="K217" s="48">
        <f t="shared" si="19"/>
        <v>-2.5175863333333336E-2</v>
      </c>
      <c r="L217" s="49">
        <f t="shared" si="20"/>
        <v>-138467.24833333335</v>
      </c>
      <c r="M217" s="45">
        <f t="shared" ca="1" si="22"/>
        <v>-2.2312994828546935E-2</v>
      </c>
    </row>
    <row r="218" spans="1:13" x14ac:dyDescent="0.3">
      <c r="A218" s="38">
        <v>46231</v>
      </c>
      <c r="B218" s="43">
        <v>-2.2400000000000002E-3</v>
      </c>
      <c r="C218" s="43">
        <v>-9.3749999999999997E-3</v>
      </c>
      <c r="D218" s="43">
        <v>-2.0112000000000001E-2</v>
      </c>
      <c r="E218" s="43">
        <v>9.7799999999999992E-4</v>
      </c>
      <c r="F218" s="43">
        <v>2.104E-3</v>
      </c>
      <c r="G218" s="43">
        <v>-9.8460000000000006E-3</v>
      </c>
      <c r="H218" s="44">
        <f t="shared" si="21"/>
        <v>-7.3222299999999999E-3</v>
      </c>
      <c r="I218" s="48">
        <f t="shared" si="17"/>
        <v>-2.2243322499999999E-2</v>
      </c>
      <c r="J218" s="49">
        <f t="shared" si="18"/>
        <v>-122338.27374999999</v>
      </c>
      <c r="K218" s="48">
        <f t="shared" si="19"/>
        <v>-2.5175863333333336E-2</v>
      </c>
      <c r="L218" s="49">
        <f t="shared" si="20"/>
        <v>-138467.24833333335</v>
      </c>
      <c r="M218" s="45">
        <f t="shared" ca="1" si="22"/>
        <v>2.5255087689479865E-3</v>
      </c>
    </row>
    <row r="219" spans="1:13" x14ac:dyDescent="0.3">
      <c r="A219" s="38">
        <v>46232</v>
      </c>
      <c r="B219" s="43">
        <v>1.503E-3</v>
      </c>
      <c r="C219" s="43">
        <v>-3.9600000000000003E-4</v>
      </c>
      <c r="D219" s="43">
        <v>9.8960000000000003E-3</v>
      </c>
      <c r="E219" s="43">
        <v>5.6800000000000004E-4</v>
      </c>
      <c r="F219" s="43">
        <v>-1.5161000000000001E-2</v>
      </c>
      <c r="G219" s="43">
        <v>-2.0560000000000002E-2</v>
      </c>
      <c r="H219" s="44">
        <f t="shared" si="21"/>
        <v>-2.6688600000000003E-3</v>
      </c>
      <c r="I219" s="48">
        <f t="shared" si="17"/>
        <v>-2.2243322499999999E-2</v>
      </c>
      <c r="J219" s="49">
        <f t="shared" si="18"/>
        <v>-122338.27374999999</v>
      </c>
      <c r="K219" s="48">
        <f t="shared" si="19"/>
        <v>-2.5175863333333336E-2</v>
      </c>
      <c r="L219" s="49">
        <f t="shared" si="20"/>
        <v>-138467.24833333335</v>
      </c>
      <c r="M219" s="45">
        <f t="shared" ca="1" si="22"/>
        <v>4.2499893526154334E-3</v>
      </c>
    </row>
    <row r="220" spans="1:13" x14ac:dyDescent="0.3">
      <c r="A220" s="38">
        <v>46233</v>
      </c>
      <c r="B220" s="43">
        <v>7.0869999999999995E-3</v>
      </c>
      <c r="C220" s="43">
        <v>1.6209000000000001E-2</v>
      </c>
      <c r="D220" s="43">
        <v>1.6452999999999999E-2</v>
      </c>
      <c r="E220" s="43">
        <v>-3.4420000000000002E-3</v>
      </c>
      <c r="F220" s="43">
        <v>1.6604000000000001E-2</v>
      </c>
      <c r="G220" s="43">
        <v>3.3614000000000005E-2</v>
      </c>
      <c r="H220" s="44">
        <f t="shared" si="21"/>
        <v>1.529106E-2</v>
      </c>
      <c r="I220" s="48">
        <f t="shared" si="17"/>
        <v>-2.2243322499999999E-2</v>
      </c>
      <c r="J220" s="49">
        <f t="shared" si="18"/>
        <v>-122338.27374999999</v>
      </c>
      <c r="K220" s="48">
        <f t="shared" si="19"/>
        <v>-2.5175863333333336E-2</v>
      </c>
      <c r="L220" s="49">
        <f t="shared" si="20"/>
        <v>-138467.24833333335</v>
      </c>
      <c r="M220" s="45">
        <f t="shared" ca="1" si="22"/>
        <v>-1.1016839006660926E-2</v>
      </c>
    </row>
    <row r="221" spans="1:13" x14ac:dyDescent="0.3">
      <c r="A221" s="38">
        <v>46234</v>
      </c>
      <c r="B221" s="43">
        <v>4.9090000000000002E-3</v>
      </c>
      <c r="C221" s="43">
        <v>-1.2439E-2</v>
      </c>
      <c r="D221" s="43">
        <v>-2.0811000000000003E-2</v>
      </c>
      <c r="E221" s="43">
        <v>-1.9088000000000001E-2</v>
      </c>
      <c r="F221" s="43">
        <v>7.0039999999999998E-3</v>
      </c>
      <c r="G221" s="43">
        <v>5.9719999999999999E-3</v>
      </c>
      <c r="H221" s="44">
        <f t="shared" si="21"/>
        <v>-7.1097800000000004E-3</v>
      </c>
      <c r="I221" s="48">
        <f t="shared" si="17"/>
        <v>-2.2243322499999999E-2</v>
      </c>
      <c r="J221" s="49">
        <f t="shared" si="18"/>
        <v>-122338.27374999999</v>
      </c>
      <c r="K221" s="48">
        <f t="shared" si="19"/>
        <v>-2.5175863333333336E-2</v>
      </c>
      <c r="L221" s="49">
        <f t="shared" si="20"/>
        <v>-138467.24833333335</v>
      </c>
      <c r="M221" s="45">
        <f t="shared" ca="1" si="22"/>
        <v>-7.6726134243043928E-3</v>
      </c>
    </row>
    <row r="222" spans="1:13" x14ac:dyDescent="0.3">
      <c r="A222" s="38">
        <v>46237</v>
      </c>
      <c r="B222" s="43">
        <v>1.7780000000000001E-3</v>
      </c>
      <c r="C222" s="43">
        <v>-3.8030000000000004E-3</v>
      </c>
      <c r="D222" s="43">
        <v>1.32E-3</v>
      </c>
      <c r="E222" s="43">
        <v>-1.6237999999999999E-2</v>
      </c>
      <c r="F222" s="43">
        <v>1.4791E-2</v>
      </c>
      <c r="G222" s="43">
        <v>1.7776E-2</v>
      </c>
      <c r="H222" s="44">
        <f t="shared" si="21"/>
        <v>6.8533999999999978E-4</v>
      </c>
      <c r="I222" s="48">
        <f t="shared" si="17"/>
        <v>-2.2243322499999999E-2</v>
      </c>
      <c r="J222" s="49">
        <f t="shared" si="18"/>
        <v>-122338.27374999999</v>
      </c>
      <c r="K222" s="48">
        <f t="shared" si="19"/>
        <v>-2.5175863333333336E-2</v>
      </c>
      <c r="L222" s="49">
        <f t="shared" si="20"/>
        <v>-138467.24833333335</v>
      </c>
      <c r="M222" s="45">
        <f t="shared" ca="1" si="22"/>
        <v>-9.5292235630046306E-3</v>
      </c>
    </row>
    <row r="223" spans="1:13" x14ac:dyDescent="0.3">
      <c r="A223" s="38">
        <v>46238</v>
      </c>
      <c r="B223" s="43">
        <v>-3.176E-3</v>
      </c>
      <c r="C223" s="43">
        <v>1.5296000000000001E-2</v>
      </c>
      <c r="D223" s="43">
        <v>4.1428E-2</v>
      </c>
      <c r="E223" s="43">
        <v>-3.3599999999999998E-4</v>
      </c>
      <c r="F223" s="43">
        <v>1.7896000000000002E-2</v>
      </c>
      <c r="G223" s="43">
        <v>3.3234E-2</v>
      </c>
      <c r="H223" s="44">
        <f t="shared" si="21"/>
        <v>1.557826E-2</v>
      </c>
      <c r="I223" s="48">
        <f t="shared" si="17"/>
        <v>-2.2243322499999999E-2</v>
      </c>
      <c r="J223" s="49">
        <f t="shared" si="18"/>
        <v>-122338.27374999999</v>
      </c>
      <c r="K223" s="48">
        <f t="shared" si="19"/>
        <v>-2.5175863333333336E-2</v>
      </c>
      <c r="L223" s="49">
        <f t="shared" si="20"/>
        <v>-138467.24833333335</v>
      </c>
      <c r="M223" s="45">
        <f t="shared" ca="1" si="22"/>
        <v>2.8116841545659365E-3</v>
      </c>
    </row>
    <row r="224" spans="1:13" x14ac:dyDescent="0.3">
      <c r="A224" s="38">
        <v>46239</v>
      </c>
      <c r="B224" s="43">
        <v>2.1800000000000001E-3</v>
      </c>
      <c r="C224" s="43">
        <v>3.6724E-2</v>
      </c>
      <c r="D224" s="43">
        <v>3.4018E-2</v>
      </c>
      <c r="E224" s="43">
        <v>1.0349999999999999E-3</v>
      </c>
      <c r="F224" s="43">
        <v>-1.676E-3</v>
      </c>
      <c r="G224" s="43">
        <v>-8.2520000000000007E-3</v>
      </c>
      <c r="H224" s="44">
        <f t="shared" si="21"/>
        <v>2.0912739999999999E-2</v>
      </c>
      <c r="I224" s="48">
        <f t="shared" si="17"/>
        <v>-2.2243322499999999E-2</v>
      </c>
      <c r="J224" s="49">
        <f t="shared" si="18"/>
        <v>-122338.27374999999</v>
      </c>
      <c r="K224" s="48">
        <f t="shared" si="19"/>
        <v>-2.5175863333333336E-2</v>
      </c>
      <c r="L224" s="49">
        <f t="shared" si="20"/>
        <v>-138467.24833333335</v>
      </c>
      <c r="M224" s="45">
        <f t="shared" ca="1" si="22"/>
        <v>2.5805002532556211E-2</v>
      </c>
    </row>
    <row r="225" spans="1:13" x14ac:dyDescent="0.3">
      <c r="A225" s="38">
        <v>46240</v>
      </c>
      <c r="B225" s="43">
        <v>2.1609999999999997E-3</v>
      </c>
      <c r="C225" s="43">
        <v>-8.9499999999999996E-4</v>
      </c>
      <c r="D225" s="43">
        <v>-1.0628E-2</v>
      </c>
      <c r="E225" s="43">
        <v>-5.8299999999999997E-4</v>
      </c>
      <c r="F225" s="43">
        <v>-1.7599999999999998E-3</v>
      </c>
      <c r="G225" s="43">
        <v>-3.882E-3</v>
      </c>
      <c r="H225" s="44">
        <f t="shared" si="21"/>
        <v>-1.5605E-3</v>
      </c>
      <c r="I225" s="48">
        <f t="shared" si="17"/>
        <v>-2.2243322499999999E-2</v>
      </c>
      <c r="J225" s="49">
        <f t="shared" si="18"/>
        <v>-122338.27374999999</v>
      </c>
      <c r="K225" s="48">
        <f t="shared" si="19"/>
        <v>-2.5175863333333336E-2</v>
      </c>
      <c r="L225" s="49">
        <f t="shared" si="20"/>
        <v>-138467.24833333335</v>
      </c>
      <c r="M225" s="45">
        <f t="shared" ca="1" si="22"/>
        <v>8.040672907373635E-3</v>
      </c>
    </row>
    <row r="226" spans="1:13" x14ac:dyDescent="0.3">
      <c r="A226" s="38">
        <v>46241</v>
      </c>
      <c r="B226" s="43">
        <v>-2.8239999999999997E-3</v>
      </c>
      <c r="C226" s="43">
        <v>2.3267000000000003E-2</v>
      </c>
      <c r="D226" s="43">
        <v>3.0811000000000002E-2</v>
      </c>
      <c r="E226" s="43">
        <v>5.1329999999999995E-3</v>
      </c>
      <c r="F226" s="43">
        <v>6.1839999999999994E-3</v>
      </c>
      <c r="G226" s="43">
        <v>1.1880999999999999E-2</v>
      </c>
      <c r="H226" s="44">
        <f t="shared" si="21"/>
        <v>1.596496E-2</v>
      </c>
      <c r="I226" s="48">
        <f t="shared" si="17"/>
        <v>-1.94839625E-2</v>
      </c>
      <c r="J226" s="49">
        <f t="shared" si="18"/>
        <v>-107161.79375</v>
      </c>
      <c r="K226" s="48">
        <f t="shared" si="19"/>
        <v>-2.4612386666666666E-2</v>
      </c>
      <c r="L226" s="49">
        <f t="shared" si="20"/>
        <v>-135368.12666666668</v>
      </c>
      <c r="M226" s="45">
        <f t="shared" ca="1" si="22"/>
        <v>1.0497081014593323E-2</v>
      </c>
    </row>
    <row r="227" spans="1:13" x14ac:dyDescent="0.3">
      <c r="A227" s="38">
        <v>46244</v>
      </c>
      <c r="B227" s="43">
        <v>2.7500000000000003E-3</v>
      </c>
      <c r="C227" s="43">
        <v>4.8609999999999999E-3</v>
      </c>
      <c r="D227" s="43">
        <v>2.8010999999999998E-2</v>
      </c>
      <c r="E227" s="43">
        <v>-3.2700000000000003E-3</v>
      </c>
      <c r="F227" s="43">
        <v>-5.8399999999999999E-4</v>
      </c>
      <c r="G227" s="43">
        <v>-3.3810000000000003E-3</v>
      </c>
      <c r="H227" s="44">
        <f t="shared" si="21"/>
        <v>4.5677600000000006E-3</v>
      </c>
      <c r="I227" s="48">
        <f t="shared" si="17"/>
        <v>-1.94839625E-2</v>
      </c>
      <c r="J227" s="49">
        <f t="shared" si="18"/>
        <v>-107161.79375</v>
      </c>
      <c r="K227" s="48">
        <f t="shared" si="19"/>
        <v>-2.4612386666666666E-2</v>
      </c>
      <c r="L227" s="49">
        <f t="shared" si="20"/>
        <v>-135368.12666666668</v>
      </c>
      <c r="M227" s="45">
        <f t="shared" ca="1" si="22"/>
        <v>-8.8404791842628793E-4</v>
      </c>
    </row>
    <row r="228" spans="1:13" x14ac:dyDescent="0.3">
      <c r="A228" s="38">
        <v>46245</v>
      </c>
      <c r="B228" s="43">
        <v>-8.6600000000000002E-4</v>
      </c>
      <c r="C228" s="43">
        <v>4.8599999999999997E-3</v>
      </c>
      <c r="D228" s="43">
        <v>-5.1759999999999992E-3</v>
      </c>
      <c r="E228" s="43">
        <v>8.012E-3</v>
      </c>
      <c r="F228" s="43">
        <v>-3.2129999999999997E-3</v>
      </c>
      <c r="G228" s="43">
        <v>-3.2519999999999997E-3</v>
      </c>
      <c r="H228" s="44">
        <f t="shared" si="21"/>
        <v>1.7692300000000001E-3</v>
      </c>
      <c r="I228" s="48">
        <f t="shared" si="17"/>
        <v>-1.94839625E-2</v>
      </c>
      <c r="J228" s="49">
        <f t="shared" si="18"/>
        <v>-107161.79375</v>
      </c>
      <c r="K228" s="48">
        <f t="shared" si="19"/>
        <v>-2.4612386666666666E-2</v>
      </c>
      <c r="L228" s="49">
        <f t="shared" si="20"/>
        <v>-135368.12666666668</v>
      </c>
      <c r="M228" s="45">
        <f t="shared" ca="1" si="22"/>
        <v>-2.5388083086320054E-2</v>
      </c>
    </row>
    <row r="229" spans="1:13" x14ac:dyDescent="0.3">
      <c r="A229" s="38">
        <v>46246</v>
      </c>
      <c r="B229" s="43">
        <v>-2.3099999999999998E-4</v>
      </c>
      <c r="C229" s="43">
        <v>5.9090000000000002E-3</v>
      </c>
      <c r="D229" s="43">
        <v>1.2135E-2</v>
      </c>
      <c r="E229" s="43">
        <v>6.8500000000000006E-4</v>
      </c>
      <c r="F229" s="43">
        <v>2.627E-3</v>
      </c>
      <c r="G229" s="43">
        <v>7.3540000000000003E-3</v>
      </c>
      <c r="H229" s="44">
        <f t="shared" si="21"/>
        <v>4.9416700000000004E-3</v>
      </c>
      <c r="I229" s="48">
        <f t="shared" si="17"/>
        <v>-1.94839625E-2</v>
      </c>
      <c r="J229" s="49">
        <f t="shared" si="18"/>
        <v>-107161.79375</v>
      </c>
      <c r="K229" s="48">
        <f t="shared" si="19"/>
        <v>-2.4612386666666666E-2</v>
      </c>
      <c r="L229" s="49">
        <f t="shared" si="20"/>
        <v>-135368.12666666668</v>
      </c>
      <c r="M229" s="45">
        <f t="shared" ca="1" si="22"/>
        <v>-2.5955517291657283E-2</v>
      </c>
    </row>
    <row r="230" spans="1:13" x14ac:dyDescent="0.3">
      <c r="A230" s="38">
        <v>46247</v>
      </c>
      <c r="B230" s="43">
        <v>-1.188E-3</v>
      </c>
      <c r="C230" s="43">
        <v>-1.0275000000000001E-2</v>
      </c>
      <c r="D230" s="43">
        <v>-1.0403000000000001E-2</v>
      </c>
      <c r="E230" s="43">
        <v>3.9600000000000003E-4</v>
      </c>
      <c r="F230" s="43">
        <v>6.5159999999999992E-3</v>
      </c>
      <c r="G230" s="43">
        <v>1.1495E-2</v>
      </c>
      <c r="H230" s="44">
        <f t="shared" si="21"/>
        <v>-4.4756199999999996E-3</v>
      </c>
      <c r="I230" s="48">
        <f t="shared" si="17"/>
        <v>-1.94839625E-2</v>
      </c>
      <c r="J230" s="49">
        <f t="shared" si="18"/>
        <v>-107161.79375</v>
      </c>
      <c r="K230" s="48">
        <f t="shared" si="19"/>
        <v>-2.4612386666666666E-2</v>
      </c>
      <c r="L230" s="49">
        <f t="shared" si="20"/>
        <v>-135368.12666666668</v>
      </c>
      <c r="M230" s="45">
        <f t="shared" ca="1" si="22"/>
        <v>1.3984810999352521E-2</v>
      </c>
    </row>
    <row r="231" spans="1:13" x14ac:dyDescent="0.3">
      <c r="A231" s="38">
        <v>46248</v>
      </c>
      <c r="B231" s="43">
        <v>4.6100000000000004E-4</v>
      </c>
      <c r="C231" s="43">
        <v>3.8500000000000001E-3</v>
      </c>
      <c r="D231" s="43">
        <v>1.7730000000000001E-3</v>
      </c>
      <c r="E231" s="43">
        <v>6.1499999999999999E-4</v>
      </c>
      <c r="F231" s="43">
        <v>-1.696E-3</v>
      </c>
      <c r="G231" s="43">
        <v>-1.2750000000000001E-3</v>
      </c>
      <c r="H231" s="44">
        <f t="shared" si="21"/>
        <v>1.9100799999999995E-3</v>
      </c>
      <c r="I231" s="48">
        <f t="shared" si="17"/>
        <v>-1.94839625E-2</v>
      </c>
      <c r="J231" s="49">
        <f t="shared" si="18"/>
        <v>-107161.79375</v>
      </c>
      <c r="K231" s="48">
        <f t="shared" si="19"/>
        <v>-2.4612386666666666E-2</v>
      </c>
      <c r="L231" s="49">
        <f t="shared" si="20"/>
        <v>-135368.12666666668</v>
      </c>
      <c r="M231" s="45">
        <f t="shared" ca="1" si="22"/>
        <v>-1.4154584107961657E-2</v>
      </c>
    </row>
    <row r="232" spans="1:13" x14ac:dyDescent="0.3">
      <c r="A232" s="38">
        <v>46251</v>
      </c>
      <c r="B232" s="43">
        <v>3.3450000000000003E-3</v>
      </c>
      <c r="C232" s="43">
        <v>8.5380000000000005E-3</v>
      </c>
      <c r="D232" s="43">
        <v>1.7434000000000002E-2</v>
      </c>
      <c r="E232" s="43">
        <v>-1.273E-3</v>
      </c>
      <c r="F232" s="43">
        <v>-5.2270000000000007E-3</v>
      </c>
      <c r="G232" s="43">
        <v>-1.689E-3</v>
      </c>
      <c r="H232" s="44">
        <f t="shared" si="21"/>
        <v>5.4474900000000001E-3</v>
      </c>
      <c r="I232" s="48">
        <f t="shared" si="17"/>
        <v>-1.94839625E-2</v>
      </c>
      <c r="J232" s="49">
        <f t="shared" si="18"/>
        <v>-107161.79375</v>
      </c>
      <c r="K232" s="48">
        <f t="shared" si="19"/>
        <v>-2.4612386666666666E-2</v>
      </c>
      <c r="L232" s="49">
        <f t="shared" si="20"/>
        <v>-135368.12666666668</v>
      </c>
      <c r="M232" s="45">
        <f t="shared" ca="1" si="22"/>
        <v>-1.4934570285800501E-3</v>
      </c>
    </row>
    <row r="233" spans="1:13" x14ac:dyDescent="0.3">
      <c r="A233" s="38">
        <v>46252</v>
      </c>
      <c r="B233" s="43">
        <v>7.6399999999999992E-4</v>
      </c>
      <c r="C233" s="43">
        <v>-1.1725000000000001E-2</v>
      </c>
      <c r="D233" s="43">
        <v>-3.2969999999999999E-2</v>
      </c>
      <c r="E233" s="43">
        <v>7.3499999999999998E-4</v>
      </c>
      <c r="F233" s="43">
        <v>-6.8820000000000001E-3</v>
      </c>
      <c r="G233" s="43">
        <v>-1.6816999999999999E-2</v>
      </c>
      <c r="H233" s="44">
        <f t="shared" si="21"/>
        <v>-1.0729200000000001E-2</v>
      </c>
      <c r="I233" s="48">
        <f t="shared" si="17"/>
        <v>-1.94839625E-2</v>
      </c>
      <c r="J233" s="49">
        <f t="shared" si="18"/>
        <v>-107161.79375</v>
      </c>
      <c r="K233" s="48">
        <f t="shared" si="19"/>
        <v>-2.4612386666666666E-2</v>
      </c>
      <c r="L233" s="49">
        <f t="shared" si="20"/>
        <v>-135368.12666666668</v>
      </c>
      <c r="M233" s="45">
        <f t="shared" ca="1" si="22"/>
        <v>-4.4387423777755733E-5</v>
      </c>
    </row>
    <row r="234" spans="1:13" x14ac:dyDescent="0.3">
      <c r="A234" s="38">
        <v>46253</v>
      </c>
      <c r="B234" s="43">
        <v>-2.9E-4</v>
      </c>
      <c r="C234" s="43">
        <v>2.8264000000000001E-2</v>
      </c>
      <c r="D234" s="43">
        <v>2.8041E-2</v>
      </c>
      <c r="E234" s="43">
        <v>1.3179999999999999E-3</v>
      </c>
      <c r="F234" s="43">
        <v>2.1090000000000002E-3</v>
      </c>
      <c r="G234" s="43">
        <v>-2.202E-3</v>
      </c>
      <c r="H234" s="44">
        <f t="shared" si="21"/>
        <v>1.6727310000000002E-2</v>
      </c>
      <c r="I234" s="48">
        <f t="shared" si="17"/>
        <v>-1.94839625E-2</v>
      </c>
      <c r="J234" s="49">
        <f t="shared" si="18"/>
        <v>-107161.79375</v>
      </c>
      <c r="K234" s="48">
        <f t="shared" si="19"/>
        <v>-2.4612386666666666E-2</v>
      </c>
      <c r="L234" s="49">
        <f t="shared" si="20"/>
        <v>-135368.12666666668</v>
      </c>
      <c r="M234" s="45">
        <f t="shared" ca="1" si="22"/>
        <v>-3.5864593685249581E-3</v>
      </c>
    </row>
    <row r="235" spans="1:13" x14ac:dyDescent="0.3">
      <c r="A235" s="38">
        <v>46254</v>
      </c>
      <c r="B235" s="43">
        <v>8.147999999999999E-3</v>
      </c>
      <c r="C235" s="43">
        <v>5.9919999999999999E-3</v>
      </c>
      <c r="D235" s="43">
        <v>3.4868000000000003E-2</v>
      </c>
      <c r="E235" s="43">
        <v>-7.984999999999999E-3</v>
      </c>
      <c r="F235" s="43">
        <v>-8.6689999999999996E-3</v>
      </c>
      <c r="G235" s="43">
        <v>-7.2340000000000008E-3</v>
      </c>
      <c r="H235" s="44">
        <f t="shared" si="21"/>
        <v>4.9838100000000008E-3</v>
      </c>
      <c r="I235" s="48">
        <f t="shared" si="17"/>
        <v>-1.94839625E-2</v>
      </c>
      <c r="J235" s="49">
        <f t="shared" si="18"/>
        <v>-107161.79375</v>
      </c>
      <c r="K235" s="48">
        <f t="shared" si="19"/>
        <v>-2.4612386666666666E-2</v>
      </c>
      <c r="L235" s="49">
        <f t="shared" si="20"/>
        <v>-135368.12666666668</v>
      </c>
      <c r="M235" s="45">
        <f t="shared" ca="1" si="22"/>
        <v>2.0836689867267274E-2</v>
      </c>
    </row>
    <row r="236" spans="1:13" x14ac:dyDescent="0.3">
      <c r="A236" s="38">
        <v>46255</v>
      </c>
      <c r="B236" s="43">
        <v>1.204E-3</v>
      </c>
      <c r="C236" s="43">
        <v>2.3868999999999998E-2</v>
      </c>
      <c r="D236" s="43">
        <v>2.1167999999999999E-2</v>
      </c>
      <c r="E236" s="43">
        <v>3.8349999999999999E-3</v>
      </c>
      <c r="F236" s="43">
        <v>4.346E-3</v>
      </c>
      <c r="G236" s="43">
        <v>3.2759999999999998E-3</v>
      </c>
      <c r="H236" s="44">
        <f t="shared" si="21"/>
        <v>1.5050229999999998E-2</v>
      </c>
      <c r="I236" s="48">
        <f t="shared" si="17"/>
        <v>-1.94839625E-2</v>
      </c>
      <c r="J236" s="49">
        <f t="shared" si="18"/>
        <v>-107161.79375</v>
      </c>
      <c r="K236" s="48">
        <f t="shared" si="19"/>
        <v>-2.4612386666666666E-2</v>
      </c>
      <c r="L236" s="49">
        <f t="shared" si="20"/>
        <v>-135368.12666666668</v>
      </c>
      <c r="M236" s="45">
        <f t="shared" ca="1" si="22"/>
        <v>-8.3164456234418281E-3</v>
      </c>
    </row>
    <row r="237" spans="1:13" x14ac:dyDescent="0.3">
      <c r="A237" s="38">
        <v>46258</v>
      </c>
      <c r="B237" s="43">
        <v>-5.3699999999999993E-4</v>
      </c>
      <c r="C237" s="43">
        <v>3.6109999999999996E-3</v>
      </c>
      <c r="D237" s="43">
        <v>-1.3316E-2</v>
      </c>
      <c r="E237" s="43">
        <v>1.3200000000000001E-4</v>
      </c>
      <c r="F237" s="43">
        <v>-2.8029999999999999E-3</v>
      </c>
      <c r="G237" s="43">
        <v>-9.7470000000000005E-3</v>
      </c>
      <c r="H237" s="44">
        <f t="shared" si="21"/>
        <v>-4.8186000000000019E-4</v>
      </c>
      <c r="I237" s="48">
        <f t="shared" si="17"/>
        <v>-1.94839625E-2</v>
      </c>
      <c r="J237" s="49">
        <f t="shared" si="18"/>
        <v>-107161.79375</v>
      </c>
      <c r="K237" s="48">
        <f t="shared" si="19"/>
        <v>-2.4612386666666666E-2</v>
      </c>
      <c r="L237" s="49">
        <f t="shared" si="20"/>
        <v>-135368.12666666668</v>
      </c>
      <c r="M237" s="45">
        <f t="shared" ca="1" si="22"/>
        <v>-2.3968349486284655E-2</v>
      </c>
    </row>
    <row r="238" spans="1:13" x14ac:dyDescent="0.3">
      <c r="A238" s="38">
        <v>46259</v>
      </c>
      <c r="B238" s="43">
        <v>-1.132E-3</v>
      </c>
      <c r="C238" s="43">
        <v>-5.8200000000000005E-4</v>
      </c>
      <c r="D238" s="43">
        <v>1.3860000000000001E-3</v>
      </c>
      <c r="E238" s="43">
        <v>1.4790000000000001E-3</v>
      </c>
      <c r="F238" s="43">
        <v>3.1909999999999998E-3</v>
      </c>
      <c r="G238" s="43">
        <v>6.4099999999999999E-3</v>
      </c>
      <c r="H238" s="44">
        <f t="shared" si="21"/>
        <v>6.609099999999998E-4</v>
      </c>
      <c r="I238" s="48">
        <f t="shared" si="17"/>
        <v>-1.94839625E-2</v>
      </c>
      <c r="J238" s="49">
        <f t="shared" si="18"/>
        <v>-107161.79375</v>
      </c>
      <c r="K238" s="48">
        <f t="shared" si="19"/>
        <v>-2.4612386666666666E-2</v>
      </c>
      <c r="L238" s="49">
        <f t="shared" si="20"/>
        <v>-135368.12666666668</v>
      </c>
      <c r="M238" s="45">
        <f t="shared" ca="1" si="22"/>
        <v>4.4578875397624168E-3</v>
      </c>
    </row>
    <row r="239" spans="1:13" x14ac:dyDescent="0.3">
      <c r="A239" s="38">
        <v>46260</v>
      </c>
      <c r="B239" s="43">
        <v>5.4900000000000001E-4</v>
      </c>
      <c r="C239" s="43">
        <v>-8.6029999999999995E-3</v>
      </c>
      <c r="D239" s="43">
        <v>-9.4120000000000002E-3</v>
      </c>
      <c r="E239" s="43">
        <v>5.2800000000000004E-4</v>
      </c>
      <c r="F239" s="43">
        <v>-2.0599999999999999E-4</v>
      </c>
      <c r="G239" s="43">
        <v>5.2300000000000003E-4</v>
      </c>
      <c r="H239" s="44">
        <f t="shared" si="21"/>
        <v>-5.0020499999999992E-3</v>
      </c>
      <c r="I239" s="48">
        <f t="shared" si="17"/>
        <v>-1.94839625E-2</v>
      </c>
      <c r="J239" s="49">
        <f t="shared" si="18"/>
        <v>-107161.79375</v>
      </c>
      <c r="K239" s="48">
        <f t="shared" si="19"/>
        <v>-2.4612386666666666E-2</v>
      </c>
      <c r="L239" s="49">
        <f t="shared" si="20"/>
        <v>-135368.12666666668</v>
      </c>
      <c r="M239" s="45">
        <f t="shared" ca="1" si="22"/>
        <v>1.7999994487011839E-2</v>
      </c>
    </row>
    <row r="240" spans="1:13" x14ac:dyDescent="0.3">
      <c r="A240" s="38">
        <v>46261</v>
      </c>
      <c r="B240" s="43">
        <v>-1.702E-3</v>
      </c>
      <c r="C240" s="43">
        <v>2.5009999999999998E-3</v>
      </c>
      <c r="D240" s="43">
        <v>2.1165E-2</v>
      </c>
      <c r="E240" s="43">
        <v>2.0100000000000001E-4</v>
      </c>
      <c r="F240" s="43">
        <v>7.2030000000000002E-3</v>
      </c>
      <c r="G240" s="43">
        <v>1.427E-2</v>
      </c>
      <c r="H240" s="44">
        <f t="shared" si="21"/>
        <v>4.8021000000000001E-3</v>
      </c>
      <c r="I240" s="48">
        <f t="shared" si="17"/>
        <v>-1.94839625E-2</v>
      </c>
      <c r="J240" s="49">
        <f t="shared" si="18"/>
        <v>-107161.79375</v>
      </c>
      <c r="K240" s="48">
        <f t="shared" si="19"/>
        <v>-2.4612386666666666E-2</v>
      </c>
      <c r="L240" s="49">
        <f t="shared" si="20"/>
        <v>-135368.12666666668</v>
      </c>
      <c r="M240" s="45">
        <f t="shared" ca="1" si="22"/>
        <v>-1.0256290308054188E-2</v>
      </c>
    </row>
    <row r="241" spans="1:13" x14ac:dyDescent="0.3">
      <c r="A241" s="38">
        <v>46262</v>
      </c>
      <c r="B241" s="43">
        <v>1.2799999999999999E-4</v>
      </c>
      <c r="C241" s="43">
        <v>-2.8549000000000001E-2</v>
      </c>
      <c r="D241" s="43">
        <v>-3.5056999999999998E-2</v>
      </c>
      <c r="E241" s="43">
        <v>4.1399999999999998E-4</v>
      </c>
      <c r="F241" s="43">
        <v>-2.4870000000000001E-3</v>
      </c>
      <c r="G241" s="43">
        <v>-7.0220000000000005E-3</v>
      </c>
      <c r="H241" s="44">
        <f t="shared" si="21"/>
        <v>-1.8226060000000002E-2</v>
      </c>
      <c r="I241" s="48">
        <f t="shared" si="17"/>
        <v>-1.8667458999999994E-2</v>
      </c>
      <c r="J241" s="49">
        <f t="shared" si="18"/>
        <v>-102671.02449999997</v>
      </c>
      <c r="K241" s="48">
        <f t="shared" si="19"/>
        <v>-2.1663513333333332E-2</v>
      </c>
      <c r="L241" s="49">
        <f t="shared" si="20"/>
        <v>-119149.32333333332</v>
      </c>
      <c r="M241" s="45">
        <f t="shared" ca="1" si="22"/>
        <v>-1.0527369264810547E-2</v>
      </c>
    </row>
    <row r="242" spans="1:13" x14ac:dyDescent="0.3">
      <c r="A242" s="38">
        <v>46265</v>
      </c>
      <c r="B242" s="43">
        <v>-5.7829999999999999E-3</v>
      </c>
      <c r="C242" s="43">
        <v>-1.0496E-2</v>
      </c>
      <c r="D242" s="43">
        <v>-1.1553000000000001E-2</v>
      </c>
      <c r="E242" s="43">
        <v>5.0280000000000004E-3</v>
      </c>
      <c r="F242" s="43">
        <v>-3.3219999999999999E-3</v>
      </c>
      <c r="G242" s="43">
        <v>8.0000000000000004E-4</v>
      </c>
      <c r="H242" s="44">
        <f t="shared" si="21"/>
        <v>-7.1363899999999994E-3</v>
      </c>
      <c r="I242" s="48">
        <f t="shared" si="17"/>
        <v>-1.8667458999999994E-2</v>
      </c>
      <c r="J242" s="49">
        <f t="shared" si="18"/>
        <v>-102671.02449999997</v>
      </c>
      <c r="K242" s="48">
        <f t="shared" si="19"/>
        <v>-2.1663513333333332E-2</v>
      </c>
      <c r="L242" s="49">
        <f t="shared" si="20"/>
        <v>-119149.32333333332</v>
      </c>
      <c r="M242" s="45">
        <f t="shared" ca="1" si="22"/>
        <v>3.3429949050111436E-2</v>
      </c>
    </row>
    <row r="243" spans="1:13" x14ac:dyDescent="0.3">
      <c r="A243" s="38">
        <v>46266</v>
      </c>
      <c r="B243" s="43">
        <v>2.4749999999999998E-3</v>
      </c>
      <c r="C243" s="43">
        <v>-1.8754E-2</v>
      </c>
      <c r="D243" s="43">
        <v>-2.4206999999999999E-2</v>
      </c>
      <c r="E243" s="43">
        <v>-2.3419999999999999E-3</v>
      </c>
      <c r="F243" s="43">
        <v>-7.1130000000000004E-3</v>
      </c>
      <c r="G243" s="43">
        <v>-1.2891999999999999E-2</v>
      </c>
      <c r="H243" s="44">
        <f t="shared" si="21"/>
        <v>-1.321308E-2</v>
      </c>
      <c r="I243" s="48">
        <f t="shared" si="17"/>
        <v>-1.8667458999999994E-2</v>
      </c>
      <c r="J243" s="49">
        <f t="shared" si="18"/>
        <v>-102671.02449999997</v>
      </c>
      <c r="K243" s="48">
        <f t="shared" si="19"/>
        <v>-2.1663513333333332E-2</v>
      </c>
      <c r="L243" s="49">
        <f t="shared" si="20"/>
        <v>-119149.32333333332</v>
      </c>
      <c r="M243" s="45">
        <f t="shared" ca="1" si="22"/>
        <v>7.1670280978111582E-3</v>
      </c>
    </row>
    <row r="244" spans="1:13" x14ac:dyDescent="0.3">
      <c r="A244" s="38">
        <v>46267</v>
      </c>
      <c r="B244" s="43">
        <v>-1.902E-3</v>
      </c>
      <c r="C244" s="43">
        <v>4.2090000000000001E-3</v>
      </c>
      <c r="D244" s="43">
        <v>1.6250000000000001E-3</v>
      </c>
      <c r="E244" s="43">
        <v>2.8110000000000001E-3</v>
      </c>
      <c r="F244" s="43">
        <v>4.6029999999999995E-3</v>
      </c>
      <c r="G244" s="43">
        <v>2.274E-3</v>
      </c>
      <c r="H244" s="44">
        <f t="shared" si="21"/>
        <v>2.8709400000000002E-3</v>
      </c>
      <c r="I244" s="48">
        <f t="shared" si="17"/>
        <v>-1.8265354500000001E-2</v>
      </c>
      <c r="J244" s="49">
        <f t="shared" si="18"/>
        <v>-100459.44975</v>
      </c>
      <c r="K244" s="48">
        <f t="shared" si="19"/>
        <v>-2.0481236666666666E-2</v>
      </c>
      <c r="L244" s="49">
        <f t="shared" si="20"/>
        <v>-112646.80166666667</v>
      </c>
      <c r="M244" s="45">
        <f t="shared" ca="1" si="22"/>
        <v>-1.5510333912855187E-2</v>
      </c>
    </row>
    <row r="245" spans="1:13" x14ac:dyDescent="0.3">
      <c r="A245" s="38">
        <v>46268</v>
      </c>
      <c r="B245" s="43">
        <v>-8.8099999999999995E-4</v>
      </c>
      <c r="C245" s="43">
        <v>2.8719999999999999E-2</v>
      </c>
      <c r="D245" s="43">
        <v>3.4763999999999996E-2</v>
      </c>
      <c r="E245" s="43">
        <v>-7.9459999999999999E-3</v>
      </c>
      <c r="F245" s="43">
        <v>1.0580000000000001E-2</v>
      </c>
      <c r="G245" s="43">
        <v>1.1632E-2</v>
      </c>
      <c r="H245" s="44">
        <f t="shared" si="21"/>
        <v>1.903009E-2</v>
      </c>
      <c r="I245" s="48">
        <f t="shared" si="17"/>
        <v>-1.8265354500000001E-2</v>
      </c>
      <c r="J245" s="49">
        <f t="shared" si="18"/>
        <v>-100459.44975</v>
      </c>
      <c r="K245" s="48">
        <f t="shared" si="19"/>
        <v>-2.0481236666666666E-2</v>
      </c>
      <c r="L245" s="49">
        <f t="shared" si="20"/>
        <v>-112646.80166666667</v>
      </c>
      <c r="M245" s="45">
        <f t="shared" ca="1" si="22"/>
        <v>1.8777993657550698E-2</v>
      </c>
    </row>
    <row r="246" spans="1:13" x14ac:dyDescent="0.3">
      <c r="A246" s="38">
        <v>46269</v>
      </c>
      <c r="B246" s="43">
        <v>3.7099999999999998E-3</v>
      </c>
      <c r="C246" s="43">
        <v>-1.3781000000000002E-2</v>
      </c>
      <c r="D246" s="43">
        <v>-1.3827000000000001E-2</v>
      </c>
      <c r="E246" s="43">
        <v>-2.0531999999999998E-2</v>
      </c>
      <c r="F246" s="43">
        <v>-3.7569999999999999E-3</v>
      </c>
      <c r="G246" s="43">
        <v>2.0969999999999999E-3</v>
      </c>
      <c r="H246" s="44">
        <f t="shared" si="21"/>
        <v>-9.0344300000000013E-3</v>
      </c>
      <c r="I246" s="48">
        <f t="shared" si="17"/>
        <v>-1.8265354500000001E-2</v>
      </c>
      <c r="J246" s="49">
        <f t="shared" si="18"/>
        <v>-100459.44975</v>
      </c>
      <c r="K246" s="48">
        <f t="shared" si="19"/>
        <v>-2.0481236666666666E-2</v>
      </c>
      <c r="L246" s="49">
        <f t="shared" si="20"/>
        <v>-112646.80166666667</v>
      </c>
      <c r="M246" s="45">
        <f t="shared" ca="1" si="22"/>
        <v>1.5551790137597259E-2</v>
      </c>
    </row>
    <row r="247" spans="1:13" x14ac:dyDescent="0.3">
      <c r="A247" s="38">
        <v>46272</v>
      </c>
      <c r="B247" s="43">
        <v>-1.2310000000000001E-3</v>
      </c>
      <c r="C247" s="43">
        <v>0</v>
      </c>
      <c r="D247" s="43">
        <v>0</v>
      </c>
      <c r="E247" s="43">
        <v>3.4499999999999999E-3</v>
      </c>
      <c r="F247" s="43">
        <v>0</v>
      </c>
      <c r="G247" s="43">
        <v>0</v>
      </c>
      <c r="H247" s="44">
        <f t="shared" si="21"/>
        <v>2.2349999999999974E-5</v>
      </c>
      <c r="I247" s="48">
        <f t="shared" si="17"/>
        <v>-1.8265354500000001E-2</v>
      </c>
      <c r="J247" s="49">
        <f t="shared" si="18"/>
        <v>-100459.44975</v>
      </c>
      <c r="K247" s="48">
        <f t="shared" si="19"/>
        <v>-2.0481236666666666E-2</v>
      </c>
      <c r="L247" s="49">
        <f t="shared" si="20"/>
        <v>-112646.80166666667</v>
      </c>
      <c r="M247" s="45">
        <f t="shared" ca="1" si="22"/>
        <v>1.2766418300902031E-2</v>
      </c>
    </row>
    <row r="248" spans="1:13" x14ac:dyDescent="0.3">
      <c r="A248" s="38">
        <v>46273</v>
      </c>
      <c r="B248" s="43">
        <v>1.1740000000000001E-3</v>
      </c>
      <c r="C248" s="43">
        <v>-8.1040000000000001E-3</v>
      </c>
      <c r="D248" s="43">
        <v>3.7850000000000002E-3</v>
      </c>
      <c r="E248" s="43">
        <v>-1.4994E-2</v>
      </c>
      <c r="F248" s="43">
        <v>-5.8399999999999997E-3</v>
      </c>
      <c r="G248" s="43">
        <v>-1.2339999999999999E-3</v>
      </c>
      <c r="H248" s="44">
        <f t="shared" si="21"/>
        <v>-5.3072399999999995E-3</v>
      </c>
      <c r="I248" s="48">
        <f t="shared" si="17"/>
        <v>-1.8265354500000001E-2</v>
      </c>
      <c r="J248" s="49">
        <f t="shared" si="18"/>
        <v>-100459.44975</v>
      </c>
      <c r="K248" s="48">
        <f t="shared" si="19"/>
        <v>-2.0481236666666666E-2</v>
      </c>
      <c r="L248" s="49">
        <f t="shared" si="20"/>
        <v>-112646.80166666667</v>
      </c>
      <c r="M248" s="45">
        <f t="shared" ca="1" si="22"/>
        <v>-1.2418041380758738E-2</v>
      </c>
    </row>
    <row r="249" spans="1:13" x14ac:dyDescent="0.3">
      <c r="A249" s="38">
        <v>46274</v>
      </c>
      <c r="B249" s="43">
        <v>-2.3E-5</v>
      </c>
      <c r="C249" s="43">
        <v>5.0299999999999997E-3</v>
      </c>
      <c r="D249" s="43">
        <v>2.4813000000000002E-2</v>
      </c>
      <c r="E249" s="43">
        <v>-2.4499999999999999E-3</v>
      </c>
      <c r="F249" s="43">
        <v>-4.8430000000000001E-3</v>
      </c>
      <c r="G249" s="43">
        <v>-2.9199999999999999E-3</v>
      </c>
      <c r="H249" s="44">
        <f t="shared" si="21"/>
        <v>3.60436E-3</v>
      </c>
      <c r="I249" s="48">
        <f t="shared" si="17"/>
        <v>-1.8265354500000001E-2</v>
      </c>
      <c r="J249" s="49">
        <f t="shared" si="18"/>
        <v>-100459.44975</v>
      </c>
      <c r="K249" s="48">
        <f t="shared" si="19"/>
        <v>-2.0481236666666666E-2</v>
      </c>
      <c r="L249" s="49">
        <f t="shared" si="20"/>
        <v>-112646.80166666667</v>
      </c>
      <c r="M249" s="45">
        <f t="shared" ca="1" si="22"/>
        <v>-3.7724246490356906E-3</v>
      </c>
    </row>
    <row r="250" spans="1:13" x14ac:dyDescent="0.3">
      <c r="A250" s="38">
        <v>46275</v>
      </c>
      <c r="B250" s="43">
        <v>5.5800000000000001E-4</v>
      </c>
      <c r="C250" s="43">
        <v>-1.1661999999999999E-2</v>
      </c>
      <c r="D250" s="43">
        <v>-5.3840000000000006E-2</v>
      </c>
      <c r="E250" s="43">
        <v>6.1899999999999998E-4</v>
      </c>
      <c r="F250" s="43">
        <v>-5.8479999999999999E-3</v>
      </c>
      <c r="G250" s="43">
        <v>-1.081E-2</v>
      </c>
      <c r="H250" s="44">
        <f t="shared" si="21"/>
        <v>-1.1750160000000001E-2</v>
      </c>
      <c r="I250" s="48">
        <f t="shared" si="17"/>
        <v>-1.8227060000000003E-2</v>
      </c>
      <c r="J250" s="49">
        <f t="shared" si="18"/>
        <v>-100248.83000000002</v>
      </c>
      <c r="K250" s="48">
        <f t="shared" si="19"/>
        <v>-2.0352606666666669E-2</v>
      </c>
      <c r="L250" s="49">
        <f t="shared" si="20"/>
        <v>-111939.33666666668</v>
      </c>
      <c r="M250" s="45">
        <f t="shared" ca="1" si="22"/>
        <v>3.2456516661743921E-3</v>
      </c>
    </row>
    <row r="251" spans="1:13" x14ac:dyDescent="0.3">
      <c r="A251" s="38">
        <v>46276</v>
      </c>
      <c r="B251" s="43">
        <v>-2.8310000000000002E-3</v>
      </c>
      <c r="C251" s="43">
        <v>1.0173000000000001E-2</v>
      </c>
      <c r="D251" s="43">
        <v>1.4063000000000001E-2</v>
      </c>
      <c r="E251" s="43">
        <v>-1.2400000000000001E-4</v>
      </c>
      <c r="F251" s="43">
        <v>8.5990000000000007E-3</v>
      </c>
      <c r="G251" s="43">
        <v>9.103E-3</v>
      </c>
      <c r="H251" s="44">
        <f t="shared" si="21"/>
        <v>7.6463400000000015E-3</v>
      </c>
      <c r="I251" s="48">
        <f t="shared" si="17"/>
        <v>-1.8227060000000003E-2</v>
      </c>
      <c r="J251" s="49">
        <f t="shared" si="18"/>
        <v>-100248.83000000002</v>
      </c>
      <c r="K251" s="48">
        <f t="shared" si="19"/>
        <v>-2.0352606666666669E-2</v>
      </c>
      <c r="L251" s="49">
        <f t="shared" si="20"/>
        <v>-111939.33666666668</v>
      </c>
      <c r="M251" s="45">
        <f t="shared" ca="1" si="22"/>
        <v>-2.509853991363691E-3</v>
      </c>
    </row>
  </sheetData>
  <mergeCells count="5">
    <mergeCell ref="I18:K18"/>
    <mergeCell ref="I10:K10"/>
    <mergeCell ref="I29:K29"/>
    <mergeCell ref="N8:O8"/>
    <mergeCell ref="N2:O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4CC6-CAEC-47C8-AD64-0B996D6CED51}">
  <dimension ref="A1:F251"/>
  <sheetViews>
    <sheetView workbookViewId="0"/>
  </sheetViews>
  <sheetFormatPr defaultRowHeight="14.4" x14ac:dyDescent="0.3"/>
  <cols>
    <col min="1" max="1" width="10.5546875" style="2" bestFit="1" customWidth="1"/>
    <col min="2" max="2" width="15.21875" style="2" bestFit="1" customWidth="1"/>
    <col min="3" max="4" width="15.21875" style="75" customWidth="1"/>
    <col min="5" max="6" width="10.77734375" style="72" bestFit="1" customWidth="1"/>
  </cols>
  <sheetData>
    <row r="1" spans="1:6" x14ac:dyDescent="0.3">
      <c r="A1" s="28" t="s">
        <v>34</v>
      </c>
      <c r="B1" s="28" t="s">
        <v>39</v>
      </c>
      <c r="C1" s="73" t="s">
        <v>72</v>
      </c>
      <c r="D1" s="73" t="s">
        <v>73</v>
      </c>
      <c r="E1" s="77" t="s">
        <v>74</v>
      </c>
      <c r="F1" s="77" t="s">
        <v>75</v>
      </c>
    </row>
    <row r="2" spans="1:6" x14ac:dyDescent="0.3">
      <c r="A2" s="38">
        <v>45925</v>
      </c>
      <c r="B2" s="45">
        <v>9.7216000000000012E-4</v>
      </c>
      <c r="C2" s="76">
        <v>1E-4</v>
      </c>
      <c r="D2" s="76">
        <v>1E-4</v>
      </c>
      <c r="E2" s="72">
        <f>SQRT(C2*250)</f>
        <v>0.15811388300841897</v>
      </c>
      <c r="F2" s="72">
        <f>SQRT(D2*250)</f>
        <v>0.15811388300841897</v>
      </c>
    </row>
    <row r="3" spans="1:6" x14ac:dyDescent="0.3">
      <c r="A3" s="38">
        <v>45926</v>
      </c>
      <c r="B3" s="45">
        <v>8.4123100000000027E-3</v>
      </c>
      <c r="C3" s="74">
        <f>0.06*B3^2+0.94*C2</f>
        <v>9.8246017572165993E-5</v>
      </c>
      <c r="D3" s="74">
        <f>0.03*B3^2+0.97*D2</f>
        <v>9.9123008786083006E-5</v>
      </c>
      <c r="E3" s="72">
        <f t="shared" ref="E3:E66" si="0">SQRT(C3*250)</f>
        <v>0.15672110385344246</v>
      </c>
      <c r="F3" s="72">
        <f t="shared" ref="F3:F66" si="1">SQRT(D3*250)</f>
        <v>0.15741903378092736</v>
      </c>
    </row>
    <row r="4" spans="1:6" x14ac:dyDescent="0.3">
      <c r="A4" s="38">
        <v>45929</v>
      </c>
      <c r="B4" s="45">
        <v>7.9235599999999996E-3</v>
      </c>
      <c r="C4" s="74">
        <f t="shared" ref="C4:C67" si="2">0.06*B4^2+0.94*C3</f>
        <v>9.6118224702252021E-5</v>
      </c>
      <c r="D4" s="74">
        <f t="shared" ref="D4:D67" si="3">0.03*B4^2+0.97*D3</f>
        <v>9.8032802614708513E-5</v>
      </c>
      <c r="E4" s="72">
        <f t="shared" si="0"/>
        <v>0.15501469664377956</v>
      </c>
      <c r="F4" s="72">
        <f t="shared" si="1"/>
        <v>0.15655095226052484</v>
      </c>
    </row>
    <row r="5" spans="1:6" x14ac:dyDescent="0.3">
      <c r="A5" s="38">
        <v>45930</v>
      </c>
      <c r="B5" s="45">
        <v>2.7131299999999998E-3</v>
      </c>
      <c r="C5" s="74">
        <f t="shared" si="2"/>
        <v>9.0792795683930901E-5</v>
      </c>
      <c r="D5" s="74">
        <f t="shared" si="3"/>
        <v>9.5312650768174251E-5</v>
      </c>
      <c r="E5" s="72">
        <f t="shared" si="0"/>
        <v>0.15065921452398034</v>
      </c>
      <c r="F5" s="72">
        <f t="shared" si="1"/>
        <v>0.15436373502880643</v>
      </c>
    </row>
    <row r="6" spans="1:6" x14ac:dyDescent="0.3">
      <c r="A6" s="38">
        <v>45931</v>
      </c>
      <c r="B6" s="45">
        <v>5.9688100000000006E-3</v>
      </c>
      <c r="C6" s="74">
        <f t="shared" si="2"/>
        <v>8.7482829511861042E-5</v>
      </c>
      <c r="D6" s="74">
        <f t="shared" si="3"/>
        <v>9.3522072029612028E-5</v>
      </c>
      <c r="E6" s="72">
        <f t="shared" si="0"/>
        <v>0.14788748215439082</v>
      </c>
      <c r="F6" s="72">
        <f t="shared" si="1"/>
        <v>0.15290689326319795</v>
      </c>
    </row>
    <row r="7" spans="1:6" x14ac:dyDescent="0.3">
      <c r="A7" s="38">
        <v>45932</v>
      </c>
      <c r="B7" s="45">
        <v>-5.8401900000000003E-3</v>
      </c>
      <c r="C7" s="74">
        <f t="shared" si="2"/>
        <v>8.4280328895315374E-5</v>
      </c>
      <c r="D7" s="74">
        <f t="shared" si="3"/>
        <v>9.1739644445806666E-5</v>
      </c>
      <c r="E7" s="72">
        <f t="shared" si="0"/>
        <v>0.14515537270052681</v>
      </c>
      <c r="F7" s="72">
        <f t="shared" si="1"/>
        <v>0.15144276513406529</v>
      </c>
    </row>
    <row r="8" spans="1:6" x14ac:dyDescent="0.3">
      <c r="A8" s="38">
        <v>45933</v>
      </c>
      <c r="B8" s="45">
        <v>7.7690000000000007E-3</v>
      </c>
      <c r="C8" s="74">
        <f t="shared" si="2"/>
        <v>8.2844950821596447E-5</v>
      </c>
      <c r="D8" s="74">
        <f t="shared" si="3"/>
        <v>9.0798175942432465E-5</v>
      </c>
      <c r="E8" s="72">
        <f t="shared" si="0"/>
        <v>0.14391399412635003</v>
      </c>
      <c r="F8" s="72">
        <f t="shared" si="1"/>
        <v>0.15066367838868169</v>
      </c>
    </row>
    <row r="9" spans="1:6" x14ac:dyDescent="0.3">
      <c r="A9" s="38">
        <v>45936</v>
      </c>
      <c r="B9" s="45">
        <v>1.1653999999999998E-2</v>
      </c>
      <c r="C9" s="74">
        <f t="shared" si="2"/>
        <v>8.6023196732300643E-5</v>
      </c>
      <c r="D9" s="74">
        <f t="shared" si="3"/>
        <v>9.2148702144159478E-5</v>
      </c>
      <c r="E9" s="72">
        <f t="shared" si="0"/>
        <v>0.14664855670300736</v>
      </c>
      <c r="F9" s="72">
        <f t="shared" si="1"/>
        <v>0.15178002350783804</v>
      </c>
    </row>
    <row r="10" spans="1:6" x14ac:dyDescent="0.3">
      <c r="A10" s="38">
        <v>45937</v>
      </c>
      <c r="B10" s="45">
        <v>1.4723500000000007E-3</v>
      </c>
      <c r="C10" s="74">
        <f t="shared" si="2"/>
        <v>8.0991873799712597E-5</v>
      </c>
      <c r="D10" s="74">
        <f t="shared" si="3"/>
        <v>8.9449275515509689E-5</v>
      </c>
      <c r="E10" s="72">
        <f t="shared" si="0"/>
        <v>0.14229535638919547</v>
      </c>
      <c r="F10" s="72">
        <f t="shared" si="1"/>
        <v>0.14954035869582974</v>
      </c>
    </row>
    <row r="11" spans="1:6" x14ac:dyDescent="0.3">
      <c r="A11" s="38">
        <v>45938</v>
      </c>
      <c r="B11" s="45">
        <v>1.2746879999999999E-2</v>
      </c>
      <c r="C11" s="74">
        <f t="shared" si="2"/>
        <v>8.5881338355793822E-5</v>
      </c>
      <c r="D11" s="74">
        <f t="shared" si="3"/>
        <v>9.16402857420764E-5</v>
      </c>
      <c r="E11" s="72">
        <f t="shared" si="0"/>
        <v>0.14652758985579628</v>
      </c>
      <c r="F11" s="72">
        <f t="shared" si="1"/>
        <v>0.15136073280583409</v>
      </c>
    </row>
    <row r="12" spans="1:6" x14ac:dyDescent="0.3">
      <c r="A12" s="38">
        <v>45939</v>
      </c>
      <c r="B12" s="45">
        <v>-1.5688190000000001E-2</v>
      </c>
      <c r="C12" s="74">
        <f t="shared" si="2"/>
        <v>9.5495616383012183E-5</v>
      </c>
      <c r="D12" s="74">
        <f t="shared" si="3"/>
        <v>9.6274656334097104E-5</v>
      </c>
      <c r="E12" s="72">
        <f t="shared" si="0"/>
        <v>0.15451182510006489</v>
      </c>
      <c r="F12" s="72">
        <f t="shared" si="1"/>
        <v>0.15514078794283687</v>
      </c>
    </row>
    <row r="13" spans="1:6" x14ac:dyDescent="0.3">
      <c r="A13" s="38">
        <v>45940</v>
      </c>
      <c r="B13" s="45">
        <v>-2.8823E-3</v>
      </c>
      <c r="C13" s="74">
        <f t="shared" si="2"/>
        <v>9.0264338597431453E-5</v>
      </c>
      <c r="D13" s="74">
        <f t="shared" si="3"/>
        <v>9.3635646242774186E-5</v>
      </c>
      <c r="E13" s="72">
        <f t="shared" si="0"/>
        <v>0.15022012065418489</v>
      </c>
      <c r="F13" s="72">
        <f t="shared" si="1"/>
        <v>0.15299971098238566</v>
      </c>
    </row>
    <row r="14" spans="1:6" x14ac:dyDescent="0.3">
      <c r="A14" s="38">
        <v>45943</v>
      </c>
      <c r="B14" s="45">
        <v>2.6251620000000003E-2</v>
      </c>
      <c r="C14" s="74">
        <f t="shared" si="2"/>
        <v>1.2619733143904958E-4</v>
      </c>
      <c r="D14" s="74">
        <f t="shared" si="3"/>
        <v>1.1150100343422297E-4</v>
      </c>
      <c r="E14" s="72">
        <f t="shared" si="0"/>
        <v>0.17762131870854467</v>
      </c>
      <c r="F14" s="72">
        <f t="shared" si="1"/>
        <v>0.1669588298310567</v>
      </c>
    </row>
    <row r="15" spans="1:6" x14ac:dyDescent="0.3">
      <c r="A15" s="38">
        <v>45944</v>
      </c>
      <c r="B15" s="45">
        <v>2.9256900000000003E-3</v>
      </c>
      <c r="C15" s="74">
        <f t="shared" si="2"/>
        <v>1.191390712712726E-4</v>
      </c>
      <c r="D15" s="74">
        <f t="shared" si="3"/>
        <v>1.0841276319047928E-4</v>
      </c>
      <c r="E15" s="72">
        <f t="shared" si="0"/>
        <v>0.17258264054596612</v>
      </c>
      <c r="F15" s="72">
        <f t="shared" si="1"/>
        <v>0.16463046740387946</v>
      </c>
    </row>
    <row r="16" spans="1:6" x14ac:dyDescent="0.3">
      <c r="A16" s="38">
        <v>45945</v>
      </c>
      <c r="B16" s="45">
        <v>7.1476400000000002E-3</v>
      </c>
      <c r="C16" s="74">
        <f t="shared" si="2"/>
        <v>1.1505605244917225E-4</v>
      </c>
      <c r="D16" s="74">
        <f t="shared" si="3"/>
        <v>1.066930430218529E-4</v>
      </c>
      <c r="E16" s="72">
        <f t="shared" si="0"/>
        <v>0.1695995669578583</v>
      </c>
      <c r="F16" s="72">
        <f t="shared" si="1"/>
        <v>0.16331950512863802</v>
      </c>
    </row>
    <row r="17" spans="1:6" x14ac:dyDescent="0.3">
      <c r="A17" s="38">
        <v>45946</v>
      </c>
      <c r="B17" s="45">
        <v>1.4924670000000004E-2</v>
      </c>
      <c r="C17" s="74">
        <f t="shared" si="2"/>
        <v>1.2151743577875592E-4</v>
      </c>
      <c r="D17" s="74">
        <f t="shared" si="3"/>
        <v>1.1017462496946432E-4</v>
      </c>
      <c r="E17" s="72">
        <f t="shared" si="0"/>
        <v>0.17429675540493855</v>
      </c>
      <c r="F17" s="72">
        <f t="shared" si="1"/>
        <v>0.16596281584248346</v>
      </c>
    </row>
    <row r="18" spans="1:6" x14ac:dyDescent="0.3">
      <c r="A18" s="38">
        <v>45947</v>
      </c>
      <c r="B18" s="45">
        <v>-1.4012450000000001E-2</v>
      </c>
      <c r="C18" s="74">
        <f t="shared" si="2"/>
        <v>1.2600731493218054E-4</v>
      </c>
      <c r="D18" s="74">
        <f t="shared" si="3"/>
        <v>1.1275984887045538E-4</v>
      </c>
      <c r="E18" s="72">
        <f t="shared" si="0"/>
        <v>0.17748754528993052</v>
      </c>
      <c r="F18" s="72">
        <f t="shared" si="1"/>
        <v>0.16789866651529381</v>
      </c>
    </row>
    <row r="19" spans="1:6" x14ac:dyDescent="0.3">
      <c r="A19" s="38">
        <v>45950</v>
      </c>
      <c r="B19" s="45">
        <v>2.1962590000000004E-2</v>
      </c>
      <c r="C19" s="74">
        <f t="shared" si="2"/>
        <v>1.4738819760673569E-4</v>
      </c>
      <c r="D19" s="74">
        <f t="shared" si="3"/>
        <v>1.2384771418958473E-4</v>
      </c>
      <c r="E19" s="72">
        <f t="shared" si="0"/>
        <v>0.19195585274141533</v>
      </c>
      <c r="F19" s="72">
        <f t="shared" si="1"/>
        <v>0.17596001974140654</v>
      </c>
    </row>
    <row r="20" spans="1:6" x14ac:dyDescent="0.3">
      <c r="A20" s="38">
        <v>45951</v>
      </c>
      <c r="B20" s="45">
        <v>-3.5255290000000002E-2</v>
      </c>
      <c r="C20" s="74">
        <f t="shared" si="2"/>
        <v>2.1312103412937758E-4</v>
      </c>
      <c r="D20" s="74">
        <f t="shared" si="3"/>
        <v>1.574203469534202E-4</v>
      </c>
      <c r="E20" s="72">
        <f t="shared" si="0"/>
        <v>0.2308251687584012</v>
      </c>
      <c r="F20" s="72">
        <f t="shared" si="1"/>
        <v>0.19838116528127123</v>
      </c>
    </row>
    <row r="21" spans="1:6" x14ac:dyDescent="0.3">
      <c r="A21" s="38">
        <v>45952</v>
      </c>
      <c r="B21" s="45">
        <v>-6.9817799999999991E-3</v>
      </c>
      <c r="C21" s="74">
        <f t="shared" si="2"/>
        <v>2.0325848719971891E-4</v>
      </c>
      <c r="D21" s="74">
        <f t="shared" si="3"/>
        <v>1.5416009410386961E-4</v>
      </c>
      <c r="E21" s="72">
        <f t="shared" si="0"/>
        <v>0.22542098793131424</v>
      </c>
      <c r="F21" s="72">
        <f t="shared" si="1"/>
        <v>0.19631613159892744</v>
      </c>
    </row>
    <row r="22" spans="1:6" x14ac:dyDescent="0.3">
      <c r="A22" s="38">
        <v>45953</v>
      </c>
      <c r="B22" s="45">
        <v>1.3507230000000002E-2</v>
      </c>
      <c r="C22" s="74">
        <f t="shared" si="2"/>
        <v>2.0200969370410976E-4</v>
      </c>
      <c r="D22" s="74">
        <f t="shared" si="3"/>
        <v>1.5500864914894051E-4</v>
      </c>
      <c r="E22" s="72">
        <f t="shared" si="0"/>
        <v>0.2247274425298954</v>
      </c>
      <c r="F22" s="72">
        <f t="shared" si="1"/>
        <v>0.19685568898874914</v>
      </c>
    </row>
    <row r="23" spans="1:6" x14ac:dyDescent="0.3">
      <c r="A23" s="38">
        <v>45954</v>
      </c>
      <c r="B23" s="45">
        <v>1.1329799999999996E-3</v>
      </c>
      <c r="C23" s="74">
        <f t="shared" si="2"/>
        <v>1.8996613070268716E-4</v>
      </c>
      <c r="D23" s="74">
        <f t="shared" si="3"/>
        <v>1.5039689898488427E-4</v>
      </c>
      <c r="E23" s="72">
        <f t="shared" si="0"/>
        <v>0.21792552093702058</v>
      </c>
      <c r="F23" s="72">
        <f t="shared" si="1"/>
        <v>0.19390519525330172</v>
      </c>
    </row>
    <row r="24" spans="1:6" x14ac:dyDescent="0.3">
      <c r="A24" s="38">
        <v>45957</v>
      </c>
      <c r="B24" s="45">
        <v>-1.4075030000000002E-2</v>
      </c>
      <c r="C24" s="74">
        <f t="shared" si="2"/>
        <v>1.9045455103057992E-4</v>
      </c>
      <c r="D24" s="74">
        <f t="shared" si="3"/>
        <v>1.5182818610036473E-4</v>
      </c>
      <c r="E24" s="72">
        <f t="shared" si="0"/>
        <v>0.21820549433422839</v>
      </c>
      <c r="F24" s="72">
        <f t="shared" si="1"/>
        <v>0.19482568240632747</v>
      </c>
    </row>
    <row r="25" spans="1:6" x14ac:dyDescent="0.3">
      <c r="A25" s="38">
        <v>45958</v>
      </c>
      <c r="B25" s="45">
        <v>-2.55252E-3</v>
      </c>
      <c r="C25" s="74">
        <f t="shared" si="2"/>
        <v>1.7941819946976911E-4</v>
      </c>
      <c r="D25" s="74">
        <f t="shared" si="3"/>
        <v>1.4746880126786577E-4</v>
      </c>
      <c r="E25" s="72">
        <f t="shared" si="0"/>
        <v>0.21178892763183413</v>
      </c>
      <c r="F25" s="72">
        <f t="shared" si="1"/>
        <v>0.19200833397789388</v>
      </c>
    </row>
    <row r="26" spans="1:6" x14ac:dyDescent="0.3">
      <c r="A26" s="38">
        <v>45959</v>
      </c>
      <c r="B26" s="45">
        <v>3.3307499999999999E-3</v>
      </c>
      <c r="C26" s="74">
        <f t="shared" si="2"/>
        <v>1.6931874123533294E-4</v>
      </c>
      <c r="D26" s="74">
        <f t="shared" si="3"/>
        <v>1.433775540967048E-4</v>
      </c>
      <c r="E26" s="72">
        <f t="shared" si="0"/>
        <v>0.20574179281038948</v>
      </c>
      <c r="F26" s="72">
        <f t="shared" si="1"/>
        <v>0.18932614326652356</v>
      </c>
    </row>
    <row r="27" spans="1:6" x14ac:dyDescent="0.3">
      <c r="A27" s="38">
        <v>45960</v>
      </c>
      <c r="B27" s="45">
        <v>7.1260000000000008E-4</v>
      </c>
      <c r="C27" s="74">
        <f t="shared" si="2"/>
        <v>1.5919008468681295E-4</v>
      </c>
      <c r="D27" s="74">
        <f t="shared" si="3"/>
        <v>1.3909146143660365E-4</v>
      </c>
      <c r="E27" s="72">
        <f t="shared" si="0"/>
        <v>0.19949316071410378</v>
      </c>
      <c r="F27" s="72">
        <f t="shared" si="1"/>
        <v>0.18647483840762782</v>
      </c>
    </row>
    <row r="28" spans="1:6" x14ac:dyDescent="0.3">
      <c r="A28" s="38">
        <v>45961</v>
      </c>
      <c r="B28" s="45">
        <v>-2.3684500000000002E-3</v>
      </c>
      <c r="C28" s="74">
        <f t="shared" si="2"/>
        <v>1.4997525292975415E-4</v>
      </c>
      <c r="D28" s="74">
        <f t="shared" si="3"/>
        <v>1.3508700425558055E-4</v>
      </c>
      <c r="E28" s="72">
        <f t="shared" si="0"/>
        <v>0.19363319248630526</v>
      </c>
      <c r="F28" s="72">
        <f t="shared" si="1"/>
        <v>0.18377092007141699</v>
      </c>
    </row>
    <row r="29" spans="1:6" x14ac:dyDescent="0.3">
      <c r="A29" s="38">
        <v>45964</v>
      </c>
      <c r="B29" s="45">
        <v>2.2693100000000001E-3</v>
      </c>
      <c r="C29" s="74">
        <f t="shared" si="2"/>
        <v>1.412857238265349E-4</v>
      </c>
      <c r="D29" s="74">
        <f t="shared" si="3"/>
        <v>1.3118888716419613E-4</v>
      </c>
      <c r="E29" s="72">
        <f t="shared" si="0"/>
        <v>0.18793996636328772</v>
      </c>
      <c r="F29" s="72">
        <f t="shared" si="1"/>
        <v>0.18110003255397011</v>
      </c>
    </row>
    <row r="30" spans="1:6" x14ac:dyDescent="0.3">
      <c r="A30" s="38">
        <v>45965</v>
      </c>
      <c r="B30" s="45">
        <v>-1.1237349999999998E-2</v>
      </c>
      <c r="C30" s="74">
        <f t="shared" si="2"/>
        <v>1.403852624982928E-4</v>
      </c>
      <c r="D30" s="74">
        <f t="shared" si="3"/>
        <v>1.3104156159994524E-4</v>
      </c>
      <c r="E30" s="72">
        <f t="shared" si="0"/>
        <v>0.18734010682332067</v>
      </c>
      <c r="F30" s="72">
        <f t="shared" si="1"/>
        <v>0.18099831601422789</v>
      </c>
    </row>
    <row r="31" spans="1:6" x14ac:dyDescent="0.3">
      <c r="A31" s="38">
        <v>45966</v>
      </c>
      <c r="B31" s="45">
        <v>5.82068E-3</v>
      </c>
      <c r="C31" s="74">
        <f t="shared" si="2"/>
        <v>1.3399496568813923E-4</v>
      </c>
      <c r="D31" s="74">
        <f t="shared" si="3"/>
        <v>1.2812672422181888E-4</v>
      </c>
      <c r="E31" s="72">
        <f t="shared" si="0"/>
        <v>0.18302661397194345</v>
      </c>
      <c r="F31" s="72">
        <f t="shared" si="1"/>
        <v>0.17897396753565789</v>
      </c>
    </row>
    <row r="32" spans="1:6" x14ac:dyDescent="0.3">
      <c r="A32" s="38">
        <v>45967</v>
      </c>
      <c r="B32" s="45">
        <v>-2.76955E-3</v>
      </c>
      <c r="C32" s="74">
        <f t="shared" si="2"/>
        <v>1.2641549217900087E-4</v>
      </c>
      <c r="D32" s="74">
        <f t="shared" si="3"/>
        <v>1.2451303471123931E-4</v>
      </c>
      <c r="E32" s="72">
        <f t="shared" si="0"/>
        <v>0.17777478180200423</v>
      </c>
      <c r="F32" s="72">
        <f t="shared" si="1"/>
        <v>0.17643202282411724</v>
      </c>
    </row>
    <row r="33" spans="1:6" x14ac:dyDescent="0.3">
      <c r="A33" s="38">
        <v>45968</v>
      </c>
      <c r="B33" s="45">
        <v>3.0057299999999999E-3</v>
      </c>
      <c r="C33" s="74">
        <f t="shared" si="2"/>
        <v>1.1937262741823481E-4</v>
      </c>
      <c r="D33" s="74">
        <f t="shared" si="3"/>
        <v>1.2104867605488912E-4</v>
      </c>
      <c r="E33" s="72">
        <f t="shared" si="0"/>
        <v>0.17275172026512123</v>
      </c>
      <c r="F33" s="72">
        <f t="shared" si="1"/>
        <v>0.17396025124643355</v>
      </c>
    </row>
    <row r="34" spans="1:6" x14ac:dyDescent="0.3">
      <c r="A34" s="38">
        <v>45971</v>
      </c>
      <c r="B34" s="45">
        <v>2.187965E-2</v>
      </c>
      <c r="C34" s="74">
        <f t="shared" si="2"/>
        <v>1.4093341482049072E-4</v>
      </c>
      <c r="D34" s="74">
        <f t="shared" si="3"/>
        <v>1.3177878829691745E-4</v>
      </c>
      <c r="E34" s="72">
        <f t="shared" si="0"/>
        <v>0.18770549726931995</v>
      </c>
      <c r="F34" s="72">
        <f t="shared" si="1"/>
        <v>0.18150674112613382</v>
      </c>
    </row>
    <row r="35" spans="1:6" x14ac:dyDescent="0.3">
      <c r="A35" s="38">
        <v>45972</v>
      </c>
      <c r="B35" s="45">
        <v>3.3799999999999992E-4</v>
      </c>
      <c r="C35" s="74">
        <f t="shared" si="2"/>
        <v>1.3248426457126126E-4</v>
      </c>
      <c r="D35" s="74">
        <f t="shared" si="3"/>
        <v>1.2782885196800992E-4</v>
      </c>
      <c r="E35" s="72">
        <f t="shared" si="0"/>
        <v>0.18199193977430789</v>
      </c>
      <c r="F35" s="72">
        <f t="shared" si="1"/>
        <v>0.17876580487331037</v>
      </c>
    </row>
    <row r="36" spans="1:6" x14ac:dyDescent="0.3">
      <c r="A36" s="38">
        <v>45973</v>
      </c>
      <c r="B36" s="45">
        <v>1.6787030000000005E-2</v>
      </c>
      <c r="C36" s="74">
        <f t="shared" si="2"/>
        <v>1.414434712702396E-4</v>
      </c>
      <c r="D36" s="74">
        <f t="shared" si="3"/>
        <v>1.3244811769559661E-4</v>
      </c>
      <c r="E36" s="72">
        <f t="shared" si="0"/>
        <v>0.18804485586572131</v>
      </c>
      <c r="F36" s="72">
        <f t="shared" si="1"/>
        <v>0.18196711083022435</v>
      </c>
    </row>
    <row r="37" spans="1:6" x14ac:dyDescent="0.3">
      <c r="A37" s="38">
        <v>45974</v>
      </c>
      <c r="B37" s="45">
        <v>-5.8692699999999993E-3</v>
      </c>
      <c r="C37" s="74">
        <f t="shared" si="2"/>
        <v>1.3502376281399921E-4</v>
      </c>
      <c r="D37" s="74">
        <f t="shared" si="3"/>
        <v>1.2950812407471572E-4</v>
      </c>
      <c r="E37" s="72">
        <f t="shared" si="0"/>
        <v>0.18372789854428695</v>
      </c>
      <c r="F37" s="72">
        <f t="shared" si="1"/>
        <v>0.17993618596235425</v>
      </c>
    </row>
    <row r="38" spans="1:6" x14ac:dyDescent="0.3">
      <c r="A38" s="38">
        <v>45975</v>
      </c>
      <c r="B38" s="45">
        <v>-1.535831E-2</v>
      </c>
      <c r="C38" s="74">
        <f t="shared" si="2"/>
        <v>1.4107499820852524E-4</v>
      </c>
      <c r="D38" s="74">
        <f t="shared" si="3"/>
        <v>1.3269921093415725E-4</v>
      </c>
      <c r="E38" s="72">
        <f t="shared" si="0"/>
        <v>0.18779975919082353</v>
      </c>
      <c r="F38" s="72">
        <f t="shared" si="1"/>
        <v>0.18213951447596241</v>
      </c>
    </row>
    <row r="39" spans="1:6" x14ac:dyDescent="0.3">
      <c r="A39" s="38">
        <v>45978</v>
      </c>
      <c r="B39" s="45">
        <v>-4.3433300000000003E-3</v>
      </c>
      <c r="C39" s="74">
        <f t="shared" si="2"/>
        <v>1.3374236924534771E-4</v>
      </c>
      <c r="D39" s="74">
        <f t="shared" si="3"/>
        <v>1.2928417007079953E-4</v>
      </c>
      <c r="E39" s="72">
        <f t="shared" si="0"/>
        <v>0.18285401912820218</v>
      </c>
      <c r="F39" s="72">
        <f t="shared" si="1"/>
        <v>0.17978053987487044</v>
      </c>
    </row>
    <row r="40" spans="1:6" x14ac:dyDescent="0.3">
      <c r="A40" s="38">
        <v>45979</v>
      </c>
      <c r="B40" s="45">
        <v>-3.1925299999999998E-3</v>
      </c>
      <c r="C40" s="74">
        <f t="shared" si="2"/>
        <v>1.2632936195868086E-4</v>
      </c>
      <c r="D40" s="74">
        <f t="shared" si="3"/>
        <v>1.2571141240270254E-4</v>
      </c>
      <c r="E40" s="72">
        <f t="shared" si="0"/>
        <v>0.17771421015121502</v>
      </c>
      <c r="F40" s="72">
        <f t="shared" si="1"/>
        <v>0.1772790261161078</v>
      </c>
    </row>
    <row r="41" spans="1:6" x14ac:dyDescent="0.3">
      <c r="A41" s="38">
        <v>45980</v>
      </c>
      <c r="B41" s="45">
        <v>3.5007700000000003E-3</v>
      </c>
      <c r="C41" s="74">
        <f t="shared" si="2"/>
        <v>1.19484923676734E-4</v>
      </c>
      <c r="D41" s="74">
        <f t="shared" si="3"/>
        <v>1.2230773174840844E-4</v>
      </c>
      <c r="E41" s="72">
        <f t="shared" si="0"/>
        <v>0.17283295669282378</v>
      </c>
      <c r="F41" s="72">
        <f t="shared" si="1"/>
        <v>0.17486261160437389</v>
      </c>
    </row>
    <row r="42" spans="1:6" x14ac:dyDescent="0.3">
      <c r="A42" s="38">
        <v>45981</v>
      </c>
      <c r="B42" s="45">
        <v>-7.3276299999999999E-3</v>
      </c>
      <c r="C42" s="74">
        <f t="shared" si="2"/>
        <v>1.1553747794114395E-4</v>
      </c>
      <c r="D42" s="74">
        <f t="shared" si="3"/>
        <v>1.2024932463846317E-4</v>
      </c>
      <c r="E42" s="72">
        <f t="shared" si="0"/>
        <v>0.1699540216802356</v>
      </c>
      <c r="F42" s="72">
        <f t="shared" si="1"/>
        <v>0.17338492195002364</v>
      </c>
    </row>
    <row r="43" spans="1:6" x14ac:dyDescent="0.3">
      <c r="A43" s="38">
        <v>45982</v>
      </c>
      <c r="B43" s="45">
        <v>3.7822100000000003E-3</v>
      </c>
      <c r="C43" s="74">
        <f t="shared" si="2"/>
        <v>1.0946353601372132E-4</v>
      </c>
      <c r="D43" s="74">
        <f t="shared" si="3"/>
        <v>1.1707099827383227E-4</v>
      </c>
      <c r="E43" s="72">
        <f t="shared" si="0"/>
        <v>0.16542637033868068</v>
      </c>
      <c r="F43" s="72">
        <f t="shared" si="1"/>
        <v>0.17107819723289719</v>
      </c>
    </row>
    <row r="44" spans="1:6" x14ac:dyDescent="0.3">
      <c r="A44" s="38">
        <v>45985</v>
      </c>
      <c r="B44" s="45">
        <v>6.0245400000000001E-3</v>
      </c>
      <c r="C44" s="74">
        <f t="shared" si="2"/>
        <v>1.0507342878559403E-4</v>
      </c>
      <c r="D44" s="74">
        <f t="shared" si="3"/>
        <v>1.146477207919653E-4</v>
      </c>
      <c r="E44" s="72">
        <f t="shared" si="0"/>
        <v>0.16207515909724879</v>
      </c>
      <c r="F44" s="72">
        <f t="shared" si="1"/>
        <v>0.16929834670779076</v>
      </c>
    </row>
    <row r="45" spans="1:6" x14ac:dyDescent="0.3">
      <c r="A45" s="38">
        <v>45986</v>
      </c>
      <c r="B45" s="45">
        <v>8.6897799999999994E-3</v>
      </c>
      <c r="C45" s="74">
        <f t="shared" si="2"/>
        <v>1.0329975964536238E-4</v>
      </c>
      <c r="D45" s="74">
        <f t="shared" si="3"/>
        <v>1.1347365746165835E-4</v>
      </c>
      <c r="E45" s="72">
        <f t="shared" si="0"/>
        <v>0.16070139984250478</v>
      </c>
      <c r="F45" s="72">
        <f t="shared" si="1"/>
        <v>0.16842925626331842</v>
      </c>
    </row>
    <row r="46" spans="1:6" x14ac:dyDescent="0.3">
      <c r="A46" s="38">
        <v>45987</v>
      </c>
      <c r="B46" s="45">
        <v>8.1742700000000008E-3</v>
      </c>
      <c r="C46" s="74">
        <f t="shared" si="2"/>
        <v>1.0111089546861462E-4</v>
      </c>
      <c r="D46" s="74">
        <f t="shared" si="3"/>
        <v>1.120740084387956E-4</v>
      </c>
      <c r="E46" s="72">
        <f t="shared" si="0"/>
        <v>0.15898969736166446</v>
      </c>
      <c r="F46" s="72">
        <f t="shared" si="1"/>
        <v>0.167387281803902</v>
      </c>
    </row>
    <row r="47" spans="1:6" x14ac:dyDescent="0.3">
      <c r="A47" s="38">
        <v>45988</v>
      </c>
      <c r="B47" s="45">
        <v>4.8722999999999995E-4</v>
      </c>
      <c r="C47" s="74">
        <f t="shared" si="2"/>
        <v>9.5058485324871745E-5</v>
      </c>
      <c r="D47" s="74">
        <f t="shared" si="3"/>
        <v>1.0871890997781874E-4</v>
      </c>
      <c r="E47" s="72">
        <f t="shared" si="0"/>
        <v>0.15415778063794877</v>
      </c>
      <c r="F47" s="72">
        <f t="shared" si="1"/>
        <v>0.1648627535086524</v>
      </c>
    </row>
    <row r="48" spans="1:6" x14ac:dyDescent="0.3">
      <c r="A48" s="38">
        <v>45989</v>
      </c>
      <c r="B48" s="45">
        <v>1.3120940000000001E-2</v>
      </c>
      <c r="C48" s="74">
        <f t="shared" si="2"/>
        <v>9.9684520194395429E-5</v>
      </c>
      <c r="D48" s="74">
        <f t="shared" si="3"/>
        <v>1.1062211467299217E-4</v>
      </c>
      <c r="E48" s="72">
        <f t="shared" si="0"/>
        <v>0.15786427730363464</v>
      </c>
      <c r="F48" s="72">
        <f t="shared" si="1"/>
        <v>0.16629951493689946</v>
      </c>
    </row>
    <row r="49" spans="1:6" x14ac:dyDescent="0.3">
      <c r="A49" s="38">
        <v>45992</v>
      </c>
      <c r="B49" s="45">
        <v>4.3065899999999999E-3</v>
      </c>
      <c r="C49" s="74">
        <f t="shared" si="2"/>
        <v>9.4816252028417702E-5</v>
      </c>
      <c r="D49" s="74">
        <f t="shared" si="3"/>
        <v>1.0785985275564539E-4</v>
      </c>
      <c r="E49" s="72">
        <f t="shared" si="0"/>
        <v>0.15396123865150094</v>
      </c>
      <c r="F49" s="72">
        <f t="shared" si="1"/>
        <v>0.164210119021062</v>
      </c>
    </row>
    <row r="50" spans="1:6" x14ac:dyDescent="0.3">
      <c r="A50" s="38">
        <v>45993</v>
      </c>
      <c r="B50" s="45">
        <v>-5.9714099999999999E-3</v>
      </c>
      <c r="C50" s="74">
        <f t="shared" si="2"/>
        <v>9.1266741149998636E-5</v>
      </c>
      <c r="D50" s="74">
        <f t="shared" si="3"/>
        <v>1.0569378929461902E-4</v>
      </c>
      <c r="E50" s="72">
        <f t="shared" si="0"/>
        <v>0.15105192910883217</v>
      </c>
      <c r="F50" s="72">
        <f t="shared" si="1"/>
        <v>0.16255290622949425</v>
      </c>
    </row>
    <row r="51" spans="1:6" x14ac:dyDescent="0.3">
      <c r="A51" s="38">
        <v>45994</v>
      </c>
      <c r="B51" s="45">
        <v>2.3256000000000001E-3</v>
      </c>
      <c r="C51" s="74">
        <f t="shared" si="2"/>
        <v>8.6115241602598724E-5</v>
      </c>
      <c r="D51" s="74">
        <f t="shared" si="3"/>
        <v>1.0268522807658045E-4</v>
      </c>
      <c r="E51" s="72">
        <f t="shared" si="0"/>
        <v>0.14672699274724363</v>
      </c>
      <c r="F51" s="72">
        <f t="shared" si="1"/>
        <v>0.16022267947810981</v>
      </c>
    </row>
    <row r="52" spans="1:6" x14ac:dyDescent="0.3">
      <c r="A52" s="38">
        <v>45995</v>
      </c>
      <c r="B52" s="45">
        <v>2.9894999999999981E-4</v>
      </c>
      <c r="C52" s="74">
        <f t="shared" si="2"/>
        <v>8.0953689372592806E-5</v>
      </c>
      <c r="D52" s="74">
        <f t="shared" si="3"/>
        <v>9.9607352367358026E-5</v>
      </c>
      <c r="E52" s="72">
        <f t="shared" si="0"/>
        <v>0.14226180915181769</v>
      </c>
      <c r="F52" s="72">
        <f t="shared" si="1"/>
        <v>0.1578031624899815</v>
      </c>
    </row>
    <row r="53" spans="1:6" x14ac:dyDescent="0.3">
      <c r="A53" s="38">
        <v>45996</v>
      </c>
      <c r="B53" s="45">
        <v>2.65533E-3</v>
      </c>
      <c r="C53" s="74">
        <f t="shared" si="2"/>
        <v>7.6519514654771237E-5</v>
      </c>
      <c r="D53" s="74">
        <f t="shared" si="3"/>
        <v>9.6830655118604296E-5</v>
      </c>
      <c r="E53" s="72">
        <f t="shared" si="0"/>
        <v>0.138310804580455</v>
      </c>
      <c r="F53" s="72">
        <f t="shared" si="1"/>
        <v>0.15558812223190777</v>
      </c>
    </row>
    <row r="54" spans="1:6" x14ac:dyDescent="0.3">
      <c r="A54" s="38">
        <v>45999</v>
      </c>
      <c r="B54" s="45">
        <v>-4.5550899999999995E-3</v>
      </c>
      <c r="C54" s="74">
        <f t="shared" si="2"/>
        <v>7.3173274469970961E-5</v>
      </c>
      <c r="D54" s="74">
        <f t="shared" si="3"/>
        <v>9.4548200812289164E-5</v>
      </c>
      <c r="E54" s="72">
        <f t="shared" si="0"/>
        <v>0.13525279522986849</v>
      </c>
      <c r="F54" s="72">
        <f t="shared" si="1"/>
        <v>0.15374345580567744</v>
      </c>
    </row>
    <row r="55" spans="1:6" x14ac:dyDescent="0.3">
      <c r="A55" s="38">
        <v>46000</v>
      </c>
      <c r="B55" s="45">
        <v>5.9413200000000008E-3</v>
      </c>
      <c r="C55" s="74">
        <f t="shared" si="2"/>
        <v>7.0900835002316696E-5</v>
      </c>
      <c r="D55" s="74">
        <f t="shared" si="3"/>
        <v>9.2770733288192477E-5</v>
      </c>
      <c r="E55" s="72">
        <f t="shared" si="0"/>
        <v>0.13313605353389132</v>
      </c>
      <c r="F55" s="72">
        <f t="shared" si="1"/>
        <v>0.15229144205124634</v>
      </c>
    </row>
    <row r="56" spans="1:6" x14ac:dyDescent="0.3">
      <c r="A56" s="38">
        <v>46001</v>
      </c>
      <c r="B56" s="45">
        <v>3.6400999999999984E-4</v>
      </c>
      <c r="C56" s="74">
        <f t="shared" si="2"/>
        <v>6.6654735098983694E-5</v>
      </c>
      <c r="D56" s="74">
        <f t="shared" si="3"/>
        <v>8.9991586387949698E-5</v>
      </c>
      <c r="E56" s="72">
        <f t="shared" si="0"/>
        <v>0.12908789166589529</v>
      </c>
      <c r="F56" s="72">
        <f t="shared" si="1"/>
        <v>0.14999298849275397</v>
      </c>
    </row>
    <row r="57" spans="1:6" x14ac:dyDescent="0.3">
      <c r="A57" s="38">
        <v>46002</v>
      </c>
      <c r="B57" s="45">
        <v>1.5987620000000001E-2</v>
      </c>
      <c r="C57" s="74">
        <f t="shared" si="2"/>
        <v>7.7991690588908669E-5</v>
      </c>
      <c r="D57" s="74">
        <f t="shared" si="3"/>
        <v>9.4959958594243205E-5</v>
      </c>
      <c r="E57" s="72">
        <f t="shared" si="0"/>
        <v>0.13963496212348528</v>
      </c>
      <c r="F57" s="72">
        <f t="shared" si="1"/>
        <v>0.1540778687825114</v>
      </c>
    </row>
    <row r="58" spans="1:6" x14ac:dyDescent="0.3">
      <c r="A58" s="38">
        <v>46003</v>
      </c>
      <c r="B58" s="45">
        <v>-3.9607100000000001E-3</v>
      </c>
      <c r="C58" s="74">
        <f t="shared" si="2"/>
        <v>7.4253422575820143E-5</v>
      </c>
      <c r="D58" s="74">
        <f t="shared" si="3"/>
        <v>9.2581776547538919E-5</v>
      </c>
      <c r="E58" s="72">
        <f t="shared" si="0"/>
        <v>0.1362474060081697</v>
      </c>
      <c r="F58" s="72">
        <f t="shared" si="1"/>
        <v>0.15213626831523352</v>
      </c>
    </row>
    <row r="59" spans="1:6" x14ac:dyDescent="0.3">
      <c r="A59" s="38">
        <v>46006</v>
      </c>
      <c r="B59" s="45">
        <v>2.3028700000000003E-3</v>
      </c>
      <c r="C59" s="74">
        <f t="shared" si="2"/>
        <v>7.011640983548493E-5</v>
      </c>
      <c r="D59" s="74">
        <f t="shared" si="3"/>
        <v>8.9963419558219756E-5</v>
      </c>
      <c r="E59" s="72">
        <f t="shared" si="0"/>
        <v>0.13239751681535131</v>
      </c>
      <c r="F59" s="72">
        <f t="shared" si="1"/>
        <v>0.14996951320036661</v>
      </c>
    </row>
    <row r="60" spans="1:6" x14ac:dyDescent="0.3">
      <c r="A60" s="38">
        <v>46007</v>
      </c>
      <c r="B60" s="45">
        <v>-7.1119E-4</v>
      </c>
      <c r="C60" s="74">
        <f t="shared" si="2"/>
        <v>6.5939772718321831E-5</v>
      </c>
      <c r="D60" s="74">
        <f t="shared" si="3"/>
        <v>8.7279690707956151E-5</v>
      </c>
      <c r="E60" s="72">
        <f t="shared" si="0"/>
        <v>0.12839370381595999</v>
      </c>
      <c r="F60" s="72">
        <f t="shared" si="1"/>
        <v>0.14771568189257711</v>
      </c>
    </row>
    <row r="61" spans="1:6" x14ac:dyDescent="0.3">
      <c r="A61" s="38">
        <v>46008</v>
      </c>
      <c r="B61" s="45">
        <v>6.4376800000000012E-3</v>
      </c>
      <c r="C61" s="74">
        <f t="shared" si="2"/>
        <v>6.4470009782166516E-5</v>
      </c>
      <c r="D61" s="74">
        <f t="shared" si="3"/>
        <v>8.5904611700189466E-5</v>
      </c>
      <c r="E61" s="72">
        <f t="shared" si="0"/>
        <v>0.12695472596773083</v>
      </c>
      <c r="F61" s="72">
        <f t="shared" si="1"/>
        <v>0.14654744257423044</v>
      </c>
    </row>
    <row r="62" spans="1:6" x14ac:dyDescent="0.3">
      <c r="A62" s="38">
        <v>46009</v>
      </c>
      <c r="B62" s="45">
        <v>-5.0871999999999983E-4</v>
      </c>
      <c r="C62" s="74">
        <f t="shared" si="2"/>
        <v>6.0617336957540523E-5</v>
      </c>
      <c r="D62" s="74">
        <f t="shared" si="3"/>
        <v>8.3335237230335786E-5</v>
      </c>
      <c r="E62" s="72">
        <f t="shared" si="0"/>
        <v>0.12310294163579166</v>
      </c>
      <c r="F62" s="72">
        <f t="shared" si="1"/>
        <v>0.1443392161111593</v>
      </c>
    </row>
    <row r="63" spans="1:6" x14ac:dyDescent="0.3">
      <c r="A63" s="38">
        <v>46010</v>
      </c>
      <c r="B63" s="45">
        <v>7.3321799999999989E-3</v>
      </c>
      <c r="C63" s="74">
        <f t="shared" si="2"/>
        <v>6.0205948553232085E-5</v>
      </c>
      <c r="D63" s="74">
        <f t="shared" si="3"/>
        <v>8.2448006019997713E-5</v>
      </c>
      <c r="E63" s="72">
        <f t="shared" si="0"/>
        <v>0.12268450243738213</v>
      </c>
      <c r="F63" s="72">
        <f t="shared" si="1"/>
        <v>0.14356880408013237</v>
      </c>
    </row>
    <row r="64" spans="1:6" x14ac:dyDescent="0.3">
      <c r="A64" s="38">
        <v>46013</v>
      </c>
      <c r="B64" s="45">
        <v>1.2697829999999998E-2</v>
      </c>
      <c r="C64" s="74">
        <f t="shared" si="2"/>
        <v>6.6267684842572145E-5</v>
      </c>
      <c r="D64" s="74">
        <f t="shared" si="3"/>
        <v>8.4811612440664777E-5</v>
      </c>
      <c r="E64" s="72">
        <f t="shared" si="0"/>
        <v>0.12871255265374484</v>
      </c>
      <c r="F64" s="72">
        <f t="shared" si="1"/>
        <v>0.14561216676557695</v>
      </c>
    </row>
    <row r="65" spans="1:6" x14ac:dyDescent="0.3">
      <c r="A65" s="38">
        <v>46014</v>
      </c>
      <c r="B65" s="45">
        <v>8.8054099999999996E-3</v>
      </c>
      <c r="C65" s="74">
        <f t="shared" si="2"/>
        <v>6.6943738468103818E-5</v>
      </c>
      <c r="D65" s="74">
        <f t="shared" si="3"/>
        <v>8.4593321425487837E-5</v>
      </c>
      <c r="E65" s="72">
        <f t="shared" si="0"/>
        <v>0.12936744032802827</v>
      </c>
      <c r="F65" s="72">
        <f t="shared" si="1"/>
        <v>0.14542465525615647</v>
      </c>
    </row>
    <row r="66" spans="1:6" x14ac:dyDescent="0.3">
      <c r="A66" s="38">
        <v>46015</v>
      </c>
      <c r="B66" s="45">
        <v>1.0727499999999999E-3</v>
      </c>
      <c r="C66" s="74">
        <f t="shared" si="2"/>
        <v>6.2996161713767585E-5</v>
      </c>
      <c r="D66" s="74">
        <f t="shared" si="3"/>
        <v>8.2090045559598203E-5</v>
      </c>
      <c r="E66" s="72">
        <f t="shared" si="0"/>
        <v>0.12549518089728345</v>
      </c>
      <c r="F66" s="72">
        <f t="shared" si="1"/>
        <v>0.14325680224652354</v>
      </c>
    </row>
    <row r="67" spans="1:6" x14ac:dyDescent="0.3">
      <c r="A67" s="38">
        <v>46017</v>
      </c>
      <c r="B67" s="45">
        <v>1.1427280000000001E-2</v>
      </c>
      <c r="C67" s="74">
        <f t="shared" si="2"/>
        <v>6.7051355702845534E-5</v>
      </c>
      <c r="D67" s="74">
        <f t="shared" si="3"/>
        <v>8.3544826038762252E-5</v>
      </c>
      <c r="E67" s="72">
        <f t="shared" ref="E67:E130" si="4">SQRT(C67*250)</f>
        <v>0.1294713826515782</v>
      </c>
      <c r="F67" s="72">
        <f t="shared" ref="F67:F130" si="5">SQRT(D67*250)</f>
        <v>0.1445206092904765</v>
      </c>
    </row>
    <row r="68" spans="1:6" x14ac:dyDescent="0.3">
      <c r="A68" s="38">
        <v>46020</v>
      </c>
      <c r="B68" s="45">
        <v>-3.0724410000000001E-2</v>
      </c>
      <c r="C68" s="74">
        <f t="shared" ref="C68:C131" si="6">0.06*B68^2+0.94*C67</f>
        <v>1.196676365515608E-4</v>
      </c>
      <c r="D68" s="74">
        <f t="shared" ref="D68:D131" si="7">0.03*B68^2+0.97*D67</f>
        <v>1.0935816235304238E-4</v>
      </c>
      <c r="E68" s="72">
        <f t="shared" si="4"/>
        <v>0.17296505178182731</v>
      </c>
      <c r="F68" s="72">
        <f t="shared" si="5"/>
        <v>0.16534672838692815</v>
      </c>
    </row>
    <row r="69" spans="1:6" x14ac:dyDescent="0.3">
      <c r="A69" s="38">
        <v>46021</v>
      </c>
      <c r="B69" s="45">
        <v>1.3371480000000002E-2</v>
      </c>
      <c r="C69" s="74">
        <f t="shared" si="6"/>
        <v>1.2321536700189115E-4</v>
      </c>
      <c r="D69" s="74">
        <f t="shared" si="7"/>
        <v>1.1144131180416312E-4</v>
      </c>
      <c r="E69" s="72">
        <f t="shared" si="4"/>
        <v>0.17551023260902138</v>
      </c>
      <c r="F69" s="72">
        <f t="shared" si="5"/>
        <v>0.16691413346700387</v>
      </c>
    </row>
    <row r="70" spans="1:6" x14ac:dyDescent="0.3">
      <c r="A70" s="38">
        <v>46022</v>
      </c>
      <c r="B70" s="45">
        <v>-1.4412360000000001E-2</v>
      </c>
      <c r="C70" s="74">
        <f t="shared" si="6"/>
        <v>1.2828541222795369E-4</v>
      </c>
      <c r="D70" s="74">
        <f t="shared" si="7"/>
        <v>1.1432955607312622E-4</v>
      </c>
      <c r="E70" s="72">
        <f t="shared" si="4"/>
        <v>0.17908476500525786</v>
      </c>
      <c r="F70" s="72">
        <f t="shared" si="5"/>
        <v>0.16906326927597715</v>
      </c>
    </row>
    <row r="71" spans="1:6" x14ac:dyDescent="0.3">
      <c r="A71" s="38">
        <v>46024</v>
      </c>
      <c r="B71" s="45">
        <v>-6.2380000000000009E-4</v>
      </c>
      <c r="C71" s="74">
        <f t="shared" si="6"/>
        <v>1.2061163508067646E-4</v>
      </c>
      <c r="D71" s="74">
        <f t="shared" si="7"/>
        <v>1.1091134318413243E-4</v>
      </c>
      <c r="E71" s="72">
        <f t="shared" si="4"/>
        <v>0.17364592932219608</v>
      </c>
      <c r="F71" s="72">
        <f t="shared" si="5"/>
        <v>0.16651677331738418</v>
      </c>
    </row>
    <row r="72" spans="1:6" x14ac:dyDescent="0.3">
      <c r="A72" s="38">
        <v>46027</v>
      </c>
      <c r="B72" s="45">
        <v>2.174885E-2</v>
      </c>
      <c r="C72" s="74">
        <f t="shared" si="6"/>
        <v>1.4175568555518586E-4</v>
      </c>
      <c r="D72" s="74">
        <f t="shared" si="7"/>
        <v>1.2177437717828346E-4</v>
      </c>
      <c r="E72" s="72">
        <f t="shared" si="4"/>
        <v>0.18825228123132123</v>
      </c>
      <c r="F72" s="72">
        <f t="shared" si="5"/>
        <v>0.17448092816858485</v>
      </c>
    </row>
    <row r="73" spans="1:6" x14ac:dyDescent="0.3">
      <c r="A73" s="38">
        <v>46028</v>
      </c>
      <c r="B73" s="45">
        <v>1.131247E-2</v>
      </c>
      <c r="C73" s="74">
        <f t="shared" si="6"/>
        <v>1.4092866307192871E-4</v>
      </c>
      <c r="D73" s="74">
        <f t="shared" si="7"/>
        <v>1.2196030518796194E-4</v>
      </c>
      <c r="E73" s="72">
        <f t="shared" si="4"/>
        <v>0.18770233287836935</v>
      </c>
      <c r="F73" s="72">
        <f t="shared" si="5"/>
        <v>0.17461407817524474</v>
      </c>
    </row>
    <row r="74" spans="1:6" x14ac:dyDescent="0.3">
      <c r="A74" s="38">
        <v>46029</v>
      </c>
      <c r="B74" s="45">
        <v>-7.7658199999999988E-3</v>
      </c>
      <c r="C74" s="74">
        <f t="shared" si="6"/>
        <v>1.3609142090395697E-4</v>
      </c>
      <c r="D74" s="74">
        <f t="shared" si="7"/>
        <v>1.2011073484049508E-4</v>
      </c>
      <c r="E74" s="72">
        <f t="shared" si="4"/>
        <v>0.18445285366724271</v>
      </c>
      <c r="F74" s="72">
        <f t="shared" si="5"/>
        <v>0.17328497831642467</v>
      </c>
    </row>
    <row r="75" spans="1:6" x14ac:dyDescent="0.3">
      <c r="A75" s="38">
        <v>46030</v>
      </c>
      <c r="B75" s="45">
        <v>-3.0970800000000003E-3</v>
      </c>
      <c r="C75" s="74">
        <f t="shared" si="6"/>
        <v>1.2850144992130355E-4</v>
      </c>
      <c r="D75" s="74">
        <f t="shared" si="7"/>
        <v>1.1679516993107223E-4</v>
      </c>
      <c r="E75" s="72">
        <f t="shared" si="4"/>
        <v>0.17923549447675224</v>
      </c>
      <c r="F75" s="72">
        <f t="shared" si="5"/>
        <v>0.17087654163977004</v>
      </c>
    </row>
    <row r="76" spans="1:6" x14ac:dyDescent="0.3">
      <c r="A76" s="38">
        <v>46031</v>
      </c>
      <c r="B76" s="45">
        <v>1.0556749999999998E-2</v>
      </c>
      <c r="C76" s="74">
        <f t="shared" si="6"/>
        <v>1.2747806115977534E-4</v>
      </c>
      <c r="D76" s="74">
        <f t="shared" si="7"/>
        <v>1.1663466395001507E-4</v>
      </c>
      <c r="E76" s="72">
        <f t="shared" si="4"/>
        <v>0.1785203497922403</v>
      </c>
      <c r="F76" s="72">
        <f t="shared" si="5"/>
        <v>0.17075908756931144</v>
      </c>
    </row>
    <row r="77" spans="1:6" x14ac:dyDescent="0.3">
      <c r="A77" s="38">
        <v>46034</v>
      </c>
      <c r="B77" s="45">
        <v>1.9049280000000002E-2</v>
      </c>
      <c r="C77" s="74">
        <f t="shared" si="6"/>
        <v>1.4160188160129282E-4</v>
      </c>
      <c r="D77" s="74">
        <f t="shared" si="7"/>
        <v>1.2402187608706662E-4</v>
      </c>
      <c r="E77" s="72">
        <f t="shared" si="4"/>
        <v>0.18815012729287006</v>
      </c>
      <c r="F77" s="72">
        <f t="shared" si="5"/>
        <v>0.17608369890982714</v>
      </c>
    </row>
    <row r="78" spans="1:6" x14ac:dyDescent="0.3">
      <c r="A78" s="38">
        <v>46035</v>
      </c>
      <c r="B78" s="45">
        <v>-3.5070999999999995E-4</v>
      </c>
      <c r="C78" s="74">
        <f t="shared" si="6"/>
        <v>1.3311314855546125E-4</v>
      </c>
      <c r="D78" s="74">
        <f t="shared" si="7"/>
        <v>1.2030490972957762E-4</v>
      </c>
      <c r="E78" s="72">
        <f t="shared" si="4"/>
        <v>0.18242337333484795</v>
      </c>
      <c r="F78" s="72">
        <f t="shared" si="5"/>
        <v>0.17342499079542834</v>
      </c>
    </row>
    <row r="79" spans="1:6" x14ac:dyDescent="0.3">
      <c r="A79" s="38">
        <v>46036</v>
      </c>
      <c r="B79" s="45">
        <v>7.3602900000000011E-3</v>
      </c>
      <c r="C79" s="74">
        <f t="shared" si="6"/>
        <v>1.2837679177517958E-4</v>
      </c>
      <c r="D79" s="74">
        <f t="shared" si="7"/>
        <v>1.1832097850421329E-4</v>
      </c>
      <c r="E79" s="72">
        <f t="shared" si="4"/>
        <v>0.17914853598004896</v>
      </c>
      <c r="F79" s="72">
        <f t="shared" si="5"/>
        <v>0.17198908286880688</v>
      </c>
    </row>
    <row r="80" spans="1:6" x14ac:dyDescent="0.3">
      <c r="A80" s="38">
        <v>46037</v>
      </c>
      <c r="B80" s="45">
        <v>1.1052000000000018E-4</v>
      </c>
      <c r="C80" s="74">
        <f t="shared" si="6"/>
        <v>1.2067491714889279E-4</v>
      </c>
      <c r="D80" s="74">
        <f t="shared" si="7"/>
        <v>1.1477171558919889E-4</v>
      </c>
      <c r="E80" s="72">
        <f t="shared" si="4"/>
        <v>0.17369147730163159</v>
      </c>
      <c r="F80" s="72">
        <f t="shared" si="5"/>
        <v>0.16938987247559908</v>
      </c>
    </row>
    <row r="81" spans="1:6" x14ac:dyDescent="0.3">
      <c r="A81" s="38">
        <v>46038</v>
      </c>
      <c r="B81" s="45">
        <v>-6.918650000000001E-3</v>
      </c>
      <c r="C81" s="74">
        <f t="shared" si="6"/>
        <v>1.1630648518930923E-4</v>
      </c>
      <c r="D81" s="74">
        <f t="shared" si="7"/>
        <v>1.1276459565619792E-4</v>
      </c>
      <c r="E81" s="72">
        <f t="shared" si="4"/>
        <v>0.17051868313275031</v>
      </c>
      <c r="F81" s="72">
        <f t="shared" si="5"/>
        <v>0.16790220044433449</v>
      </c>
    </row>
    <row r="82" spans="1:6" x14ac:dyDescent="0.3">
      <c r="A82" s="38">
        <v>46041</v>
      </c>
      <c r="B82" s="45">
        <v>-1.9560000000000001E-4</v>
      </c>
      <c r="C82" s="74">
        <f t="shared" si="6"/>
        <v>1.0933039163955068E-4</v>
      </c>
      <c r="D82" s="74">
        <f t="shared" si="7"/>
        <v>1.0938280556731197E-4</v>
      </c>
      <c r="E82" s="72">
        <f t="shared" si="4"/>
        <v>0.16532573275170345</v>
      </c>
      <c r="F82" s="72">
        <f t="shared" si="5"/>
        <v>0.16536535729054014</v>
      </c>
    </row>
    <row r="83" spans="1:6" x14ac:dyDescent="0.3">
      <c r="A83" s="38">
        <v>46042</v>
      </c>
      <c r="B83" s="45">
        <v>2.0831690000000003E-2</v>
      </c>
      <c r="C83" s="74">
        <f t="shared" si="6"/>
        <v>1.2880812663654362E-4</v>
      </c>
      <c r="D83" s="74">
        <f t="shared" si="7"/>
        <v>1.191201006479756E-4</v>
      </c>
      <c r="E83" s="72">
        <f t="shared" si="4"/>
        <v>0.17944924535683038</v>
      </c>
      <c r="F83" s="72">
        <f t="shared" si="5"/>
        <v>0.17256889975309542</v>
      </c>
    </row>
    <row r="84" spans="1:6" x14ac:dyDescent="0.3">
      <c r="A84" s="38">
        <v>46043</v>
      </c>
      <c r="B84" s="45">
        <v>9.6746099999999984E-3</v>
      </c>
      <c r="C84" s="74">
        <f t="shared" si="6"/>
        <v>1.26695523757477E-4</v>
      </c>
      <c r="D84" s="74">
        <f t="shared" si="7"/>
        <v>1.1835443998809933E-4</v>
      </c>
      <c r="E84" s="72">
        <f t="shared" si="4"/>
        <v>0.17797157340252193</v>
      </c>
      <c r="F84" s="72">
        <f t="shared" si="5"/>
        <v>0.17201340063211595</v>
      </c>
    </row>
    <row r="85" spans="1:6" x14ac:dyDescent="0.3">
      <c r="A85" s="38">
        <v>46044</v>
      </c>
      <c r="B85" s="45">
        <v>1.2089270000000001E-2</v>
      </c>
      <c r="C85" s="74">
        <f t="shared" si="6"/>
        <v>1.2786281928000239E-4</v>
      </c>
      <c r="D85" s="74">
        <f t="shared" si="7"/>
        <v>1.1918832026244335E-4</v>
      </c>
      <c r="E85" s="72">
        <f t="shared" si="4"/>
        <v>0.17878955456066387</v>
      </c>
      <c r="F85" s="72">
        <f t="shared" si="5"/>
        <v>0.17261830744625797</v>
      </c>
    </row>
    <row r="86" spans="1:6" x14ac:dyDescent="0.3">
      <c r="A86" s="38">
        <v>46045</v>
      </c>
      <c r="B86" s="45">
        <v>1.2537380000000001E-2</v>
      </c>
      <c r="C86" s="74">
        <f t="shared" si="6"/>
        <v>1.2962220395906624E-4</v>
      </c>
      <c r="D86" s="74">
        <f t="shared" si="7"/>
        <v>1.2032824757250205E-4</v>
      </c>
      <c r="E86" s="72">
        <f t="shared" si="4"/>
        <v>0.18001541875563482</v>
      </c>
      <c r="F86" s="72">
        <f t="shared" si="5"/>
        <v>0.17344181125993097</v>
      </c>
    </row>
    <row r="87" spans="1:6" x14ac:dyDescent="0.3">
      <c r="A87" s="38">
        <v>46048</v>
      </c>
      <c r="B87" s="45">
        <v>2.2819899999999997E-2</v>
      </c>
      <c r="C87" s="74">
        <f t="shared" si="6"/>
        <v>1.5308974188212225E-4</v>
      </c>
      <c r="D87" s="74">
        <f t="shared" si="7"/>
        <v>1.3234083522562699E-4</v>
      </c>
      <c r="E87" s="72">
        <f t="shared" si="4"/>
        <v>0.19563342114917523</v>
      </c>
      <c r="F87" s="72">
        <f t="shared" si="5"/>
        <v>0.18189339956800726</v>
      </c>
    </row>
    <row r="88" spans="1:6" x14ac:dyDescent="0.3">
      <c r="A88" s="38">
        <v>46049</v>
      </c>
      <c r="B88" s="45">
        <v>-5.4748900000000022E-3</v>
      </c>
      <c r="C88" s="74">
        <f t="shared" si="6"/>
        <v>1.457028225999209E-4</v>
      </c>
      <c r="D88" s="74">
        <f t="shared" si="7"/>
        <v>1.2926984278422118E-4</v>
      </c>
      <c r="E88" s="72">
        <f t="shared" si="4"/>
        <v>0.19085519550166882</v>
      </c>
      <c r="F88" s="72">
        <f t="shared" si="5"/>
        <v>0.17977057794882703</v>
      </c>
    </row>
    <row r="89" spans="1:6" x14ac:dyDescent="0.3">
      <c r="A89" s="38">
        <v>46050</v>
      </c>
      <c r="B89" s="45">
        <v>2.9340570000000003E-2</v>
      </c>
      <c r="C89" s="74">
        <f t="shared" si="6"/>
        <v>1.8861279611941963E-4</v>
      </c>
      <c r="D89" s="74">
        <f t="shared" si="7"/>
        <v>1.5121781893844154E-4</v>
      </c>
      <c r="E89" s="72">
        <f t="shared" si="4"/>
        <v>0.21714787364801644</v>
      </c>
      <c r="F89" s="72">
        <f t="shared" si="5"/>
        <v>0.19443367695594915</v>
      </c>
    </row>
    <row r="90" spans="1:6" x14ac:dyDescent="0.3">
      <c r="A90" s="38">
        <v>46051</v>
      </c>
      <c r="B90" s="45">
        <v>1.4053200000000005E-3</v>
      </c>
      <c r="C90" s="74">
        <f t="shared" si="6"/>
        <v>1.7741452381039846E-4</v>
      </c>
      <c r="D90" s="74">
        <f t="shared" si="7"/>
        <v>1.4674053209936028E-4</v>
      </c>
      <c r="E90" s="72">
        <f t="shared" si="4"/>
        <v>0.21060301743469778</v>
      </c>
      <c r="F90" s="72">
        <f t="shared" si="5"/>
        <v>0.19153363418689698</v>
      </c>
    </row>
    <row r="91" spans="1:6" x14ac:dyDescent="0.3">
      <c r="A91" s="38">
        <v>46052</v>
      </c>
      <c r="B91" s="45">
        <v>-8.4797239999999982E-2</v>
      </c>
      <c r="C91" s="74">
        <f t="shared" si="6"/>
        <v>5.9820396707883038E-4</v>
      </c>
      <c r="D91" s="74">
        <f t="shared" si="7"/>
        <v>3.5805547348490734E-4</v>
      </c>
      <c r="E91" s="72">
        <f t="shared" si="4"/>
        <v>0.38671823304533703</v>
      </c>
      <c r="F91" s="72">
        <f t="shared" si="5"/>
        <v>0.29918868356143891</v>
      </c>
    </row>
    <row r="92" spans="1:6" x14ac:dyDescent="0.3">
      <c r="A92" s="38">
        <v>46055</v>
      </c>
      <c r="B92" s="45">
        <v>-1.0846360000000003E-2</v>
      </c>
      <c r="C92" s="74">
        <f t="shared" si="6"/>
        <v>5.6937034056907655E-4</v>
      </c>
      <c r="D92" s="74">
        <f t="shared" si="7"/>
        <v>3.508431150378481E-4</v>
      </c>
      <c r="E92" s="72">
        <f t="shared" si="4"/>
        <v>0.37728316307817017</v>
      </c>
      <c r="F92" s="72">
        <f t="shared" si="5"/>
        <v>0.29616005598233874</v>
      </c>
    </row>
    <row r="93" spans="1:6" x14ac:dyDescent="0.3">
      <c r="A93" s="38">
        <v>46056</v>
      </c>
      <c r="B93" s="45">
        <v>3.4683000000000005E-2</v>
      </c>
      <c r="C93" s="74">
        <f t="shared" si="6"/>
        <v>6.0738274947493205E-4</v>
      </c>
      <c r="D93" s="74">
        <f t="shared" si="7"/>
        <v>3.7640513625671263E-4</v>
      </c>
      <c r="E93" s="72">
        <f t="shared" si="4"/>
        <v>0.38967382176473314</v>
      </c>
      <c r="F93" s="72">
        <f t="shared" si="5"/>
        <v>0.30675932596121369</v>
      </c>
    </row>
    <row r="94" spans="1:6" x14ac:dyDescent="0.3">
      <c r="A94" s="38">
        <v>46057</v>
      </c>
      <c r="B94" s="45">
        <v>1.0308900000000002E-3</v>
      </c>
      <c r="C94" s="74">
        <f t="shared" si="6"/>
        <v>5.7100354855796202E-4</v>
      </c>
      <c r="D94" s="74">
        <f t="shared" si="7"/>
        <v>3.651448641947742E-4</v>
      </c>
      <c r="E94" s="72">
        <f t="shared" si="4"/>
        <v>0.37782388376000065</v>
      </c>
      <c r="F94" s="72">
        <f t="shared" si="5"/>
        <v>0.30213608862347702</v>
      </c>
    </row>
    <row r="95" spans="1:6" x14ac:dyDescent="0.3">
      <c r="A95" s="38">
        <v>46058</v>
      </c>
      <c r="B95" s="45">
        <v>-1.5713250000000002E-2</v>
      </c>
      <c r="C95" s="74">
        <f t="shared" si="6"/>
        <v>5.5155770917823419E-4</v>
      </c>
      <c r="D95" s="74">
        <f t="shared" si="7"/>
        <v>3.6159770503580596E-4</v>
      </c>
      <c r="E95" s="72">
        <f t="shared" si="4"/>
        <v>0.37133465673777144</v>
      </c>
      <c r="F95" s="72">
        <f t="shared" si="5"/>
        <v>0.30066497344877319</v>
      </c>
    </row>
    <row r="96" spans="1:6" x14ac:dyDescent="0.3">
      <c r="A96" s="38">
        <v>46059</v>
      </c>
      <c r="B96" s="45">
        <v>1.338205E-2</v>
      </c>
      <c r="C96" s="74">
        <f t="shared" si="6"/>
        <v>5.2920900235969002E-4</v>
      </c>
      <c r="D96" s="74">
        <f t="shared" si="7"/>
        <v>3.5612215175080675E-4</v>
      </c>
      <c r="E96" s="72">
        <f t="shared" si="4"/>
        <v>0.36373376333511098</v>
      </c>
      <c r="F96" s="72">
        <f t="shared" si="5"/>
        <v>0.29837985511374876</v>
      </c>
    </row>
    <row r="97" spans="1:6" x14ac:dyDescent="0.3">
      <c r="A97" s="38">
        <v>46062</v>
      </c>
      <c r="B97" s="45">
        <v>1.7818889999999997E-2</v>
      </c>
      <c r="C97" s="74">
        <f t="shared" si="6"/>
        <v>5.1650723266803461E-4</v>
      </c>
      <c r="D97" s="74">
        <f t="shared" si="7"/>
        <v>3.5496387242324554E-4</v>
      </c>
      <c r="E97" s="72">
        <f t="shared" si="4"/>
        <v>0.35934218812575941</v>
      </c>
      <c r="F97" s="72">
        <f t="shared" si="5"/>
        <v>0.29789422301516927</v>
      </c>
    </row>
    <row r="98" spans="1:6" x14ac:dyDescent="0.3">
      <c r="A98" s="38">
        <v>46063</v>
      </c>
      <c r="B98" s="45">
        <v>-6.851620000000001E-3</v>
      </c>
      <c r="C98" s="74">
        <f t="shared" si="6"/>
        <v>4.8833348050541646E-4</v>
      </c>
      <c r="D98" s="74">
        <f t="shared" si="7"/>
        <v>3.4572329714928015E-4</v>
      </c>
      <c r="E98" s="72">
        <f t="shared" si="4"/>
        <v>0.34940430753835033</v>
      </c>
      <c r="F98" s="72">
        <f t="shared" si="5"/>
        <v>0.29399119763577963</v>
      </c>
    </row>
    <row r="99" spans="1:6" x14ac:dyDescent="0.3">
      <c r="A99" s="38">
        <v>46064</v>
      </c>
      <c r="B99" s="45">
        <v>9.8791800000000013E-3</v>
      </c>
      <c r="C99" s="74">
        <f t="shared" si="6"/>
        <v>4.6488936352343549E-4</v>
      </c>
      <c r="D99" s="74">
        <f t="shared" si="7"/>
        <v>3.3827954415897377E-4</v>
      </c>
      <c r="E99" s="72">
        <f t="shared" si="4"/>
        <v>0.34091397871143225</v>
      </c>
      <c r="F99" s="72">
        <f t="shared" si="5"/>
        <v>0.29080901987342733</v>
      </c>
    </row>
    <row r="100" spans="1:6" x14ac:dyDescent="0.3">
      <c r="A100" s="38">
        <v>46065</v>
      </c>
      <c r="B100" s="45">
        <v>-2.6911909999999997E-2</v>
      </c>
      <c r="C100" s="74">
        <f t="shared" si="6"/>
        <v>4.8045105570291533E-4</v>
      </c>
      <c r="D100" s="74">
        <f t="shared" si="7"/>
        <v>3.4985868482964751E-4</v>
      </c>
      <c r="E100" s="72">
        <f t="shared" si="4"/>
        <v>0.34657288400238245</v>
      </c>
      <c r="F100" s="72">
        <f t="shared" si="5"/>
        <v>0.29574426656726899</v>
      </c>
    </row>
    <row r="101" spans="1:6" x14ac:dyDescent="0.3">
      <c r="A101" s="38">
        <v>46066</v>
      </c>
      <c r="B101" s="45">
        <v>1.2570910000000001E-2</v>
      </c>
      <c r="C101" s="74">
        <f t="shared" si="6"/>
        <v>4.6110565905442633E-4</v>
      </c>
      <c r="D101" s="74">
        <f t="shared" si="7"/>
        <v>3.4410375763160107E-4</v>
      </c>
      <c r="E101" s="72">
        <f t="shared" si="4"/>
        <v>0.33952380588643055</v>
      </c>
      <c r="F101" s="72">
        <f t="shared" si="5"/>
        <v>0.29330178896130221</v>
      </c>
    </row>
    <row r="102" spans="1:6" x14ac:dyDescent="0.3">
      <c r="A102" s="38">
        <v>46069</v>
      </c>
      <c r="B102" s="45">
        <v>-2.8949999999999999E-5</v>
      </c>
      <c r="C102" s="74">
        <f t="shared" si="6"/>
        <v>4.3343936979731076E-4</v>
      </c>
      <c r="D102" s="74">
        <f t="shared" si="7"/>
        <v>3.3378067004572804E-4</v>
      </c>
      <c r="E102" s="72">
        <f t="shared" si="4"/>
        <v>0.32918056207699703</v>
      </c>
      <c r="F102" s="72">
        <f t="shared" si="5"/>
        <v>0.28886877212920059</v>
      </c>
    </row>
    <row r="103" spans="1:6" x14ac:dyDescent="0.3">
      <c r="A103" s="38">
        <v>46070</v>
      </c>
      <c r="B103" s="45">
        <v>-1.8547649999999999E-2</v>
      </c>
      <c r="C103" s="74">
        <f t="shared" si="6"/>
        <v>4.2807392684082209E-4</v>
      </c>
      <c r="D103" s="74">
        <f t="shared" si="7"/>
        <v>3.3408770956003123E-4</v>
      </c>
      <c r="E103" s="72">
        <f t="shared" si="4"/>
        <v>0.32713679357450076</v>
      </c>
      <c r="F103" s="72">
        <f t="shared" si="5"/>
        <v>0.28900160447652851</v>
      </c>
    </row>
    <row r="104" spans="1:6" x14ac:dyDescent="0.3">
      <c r="A104" s="38">
        <v>46071</v>
      </c>
      <c r="B104" s="45">
        <v>1.6421269999999998E-2</v>
      </c>
      <c r="C104" s="74">
        <f t="shared" si="6"/>
        <v>4.1856897773514672E-4</v>
      </c>
      <c r="D104" s="74">
        <f t="shared" si="7"/>
        <v>3.3215482152561731E-4</v>
      </c>
      <c r="E104" s="72">
        <f t="shared" si="4"/>
        <v>0.32348453507669678</v>
      </c>
      <c r="F104" s="72">
        <f t="shared" si="5"/>
        <v>0.28816437215832968</v>
      </c>
    </row>
    <row r="105" spans="1:6" x14ac:dyDescent="0.3">
      <c r="A105" s="38">
        <v>46072</v>
      </c>
      <c r="B105" s="45">
        <v>-1.8965700000000002E-3</v>
      </c>
      <c r="C105" s="74">
        <f t="shared" si="6"/>
        <v>3.9367065773693191E-4</v>
      </c>
      <c r="D105" s="74">
        <f t="shared" si="7"/>
        <v>3.222980862127958E-4</v>
      </c>
      <c r="E105" s="72">
        <f t="shared" si="4"/>
        <v>0.31371589764344582</v>
      </c>
      <c r="F105" s="72">
        <f t="shared" si="5"/>
        <v>0.28385651578429366</v>
      </c>
    </row>
    <row r="106" spans="1:6" x14ac:dyDescent="0.3">
      <c r="A106" s="38">
        <v>46073</v>
      </c>
      <c r="B106" s="45">
        <v>1.488946E-2</v>
      </c>
      <c r="C106" s="74">
        <f t="shared" si="6"/>
        <v>3.8335217941821195E-4</v>
      </c>
      <c r="D106" s="74">
        <f t="shared" si="7"/>
        <v>3.1928002419915989E-4</v>
      </c>
      <c r="E106" s="72">
        <f t="shared" si="4"/>
        <v>0.30957720338318351</v>
      </c>
      <c r="F106" s="72">
        <f t="shared" si="5"/>
        <v>0.28252434594170817</v>
      </c>
    </row>
    <row r="107" spans="1:6" x14ac:dyDescent="0.3">
      <c r="A107" s="38">
        <v>46076</v>
      </c>
      <c r="B107" s="45">
        <v>1.706278E-2</v>
      </c>
      <c r="C107" s="74">
        <f t="shared" si="6"/>
        <v>3.7781935633282322E-4</v>
      </c>
      <c r="D107" s="74">
        <f t="shared" si="7"/>
        <v>3.1843577731303707E-4</v>
      </c>
      <c r="E107" s="72">
        <f t="shared" si="4"/>
        <v>0.30733505996421201</v>
      </c>
      <c r="F107" s="72">
        <f t="shared" si="5"/>
        <v>0.28215057031354601</v>
      </c>
    </row>
    <row r="108" spans="1:6" x14ac:dyDescent="0.3">
      <c r="A108" s="38">
        <v>46077</v>
      </c>
      <c r="B108" s="45">
        <v>-2.5129499999999999E-3</v>
      </c>
      <c r="C108" s="74">
        <f t="shared" si="6"/>
        <v>3.555290900150038E-4</v>
      </c>
      <c r="D108" s="74">
        <f t="shared" si="7"/>
        <v>3.0907215152472096E-4</v>
      </c>
      <c r="E108" s="72">
        <f t="shared" si="4"/>
        <v>0.29813130077828287</v>
      </c>
      <c r="F108" s="72">
        <f t="shared" si="5"/>
        <v>0.27797128967067847</v>
      </c>
    </row>
    <row r="109" spans="1:6" x14ac:dyDescent="0.3">
      <c r="A109" s="38">
        <v>46078</v>
      </c>
      <c r="B109" s="45">
        <v>1.0599949999999999E-2</v>
      </c>
      <c r="C109" s="74">
        <f t="shared" si="6"/>
        <v>3.4093888101425352E-4</v>
      </c>
      <c r="D109" s="74">
        <f t="shared" si="7"/>
        <v>3.0317075517905434E-4</v>
      </c>
      <c r="E109" s="72">
        <f t="shared" si="4"/>
        <v>0.29194985914290722</v>
      </c>
      <c r="F109" s="72">
        <f t="shared" si="5"/>
        <v>0.27530471989191102</v>
      </c>
    </row>
    <row r="110" spans="1:6" x14ac:dyDescent="0.3">
      <c r="A110" s="38">
        <v>46079</v>
      </c>
      <c r="B110" s="45">
        <v>-7.4013800000000008E-3</v>
      </c>
      <c r="C110" s="74">
        <f t="shared" si="6"/>
        <v>3.2376937370766232E-4</v>
      </c>
      <c r="D110" s="74">
        <f t="shared" si="7"/>
        <v>2.957190453008147E-4</v>
      </c>
      <c r="E110" s="72">
        <f t="shared" si="4"/>
        <v>0.28450367910963048</v>
      </c>
      <c r="F110" s="72">
        <f t="shared" si="5"/>
        <v>0.27190027827349439</v>
      </c>
    </row>
    <row r="111" spans="1:6" x14ac:dyDescent="0.3">
      <c r="A111" s="38">
        <v>46080</v>
      </c>
      <c r="B111" s="45">
        <v>9.5175899999999994E-3</v>
      </c>
      <c r="C111" s="74">
        <f t="shared" si="6"/>
        <v>3.0977828244968856E-4</v>
      </c>
      <c r="D111" s="74">
        <f t="shared" si="7"/>
        <v>2.8956500952403324E-4</v>
      </c>
      <c r="E111" s="72">
        <f t="shared" si="4"/>
        <v>0.27828864621543969</v>
      </c>
      <c r="F111" s="72">
        <f t="shared" si="5"/>
        <v>0.2690562253154688</v>
      </c>
    </row>
    <row r="112" spans="1:6" x14ac:dyDescent="0.3">
      <c r="A112" s="38">
        <v>46083</v>
      </c>
      <c r="B112" s="45">
        <v>2.3398200000000003E-3</v>
      </c>
      <c r="C112" s="74">
        <f t="shared" si="6"/>
        <v>2.9152007096065123E-4</v>
      </c>
      <c r="D112" s="74">
        <f t="shared" si="7"/>
        <v>2.8104230196728425E-4</v>
      </c>
      <c r="E112" s="72">
        <f t="shared" si="4"/>
        <v>0.26996299327901002</v>
      </c>
      <c r="F112" s="72">
        <f t="shared" si="5"/>
        <v>0.26506711507054409</v>
      </c>
    </row>
    <row r="113" spans="1:6" x14ac:dyDescent="0.3">
      <c r="A113" s="38">
        <v>46084</v>
      </c>
      <c r="B113" s="45">
        <v>-2.5445329999999999E-2</v>
      </c>
      <c r="C113" s="74">
        <f t="shared" si="6"/>
        <v>3.1287675583154613E-4</v>
      </c>
      <c r="D113" s="74">
        <f t="shared" si="7"/>
        <v>2.920349774725327E-4</v>
      </c>
      <c r="E113" s="72">
        <f t="shared" si="4"/>
        <v>0.27967693676434341</v>
      </c>
      <c r="F113" s="72">
        <f t="shared" si="5"/>
        <v>0.27020130341679177</v>
      </c>
    </row>
    <row r="114" spans="1:6" x14ac:dyDescent="0.3">
      <c r="A114" s="38">
        <v>46085</v>
      </c>
      <c r="B114" s="45">
        <v>2.3181400000000002E-3</v>
      </c>
      <c r="C114" s="74">
        <f t="shared" si="6"/>
        <v>2.9442657686522933E-4</v>
      </c>
      <c r="D114" s="74">
        <f t="shared" si="7"/>
        <v>2.8343514134014473E-4</v>
      </c>
      <c r="E114" s="72">
        <f t="shared" si="4"/>
        <v>0.27130544450177796</v>
      </c>
      <c r="F114" s="72">
        <f t="shared" si="5"/>
        <v>0.2661931354017909</v>
      </c>
    </row>
    <row r="115" spans="1:6" x14ac:dyDescent="0.3">
      <c r="A115" s="38">
        <v>46086</v>
      </c>
      <c r="B115" s="45">
        <v>-7.2665000000000004E-3</v>
      </c>
      <c r="C115" s="74">
        <f t="shared" si="6"/>
        <v>2.7992910358831555E-4</v>
      </c>
      <c r="D115" s="74">
        <f t="shared" si="7"/>
        <v>2.7651614776744041E-4</v>
      </c>
      <c r="E115" s="72">
        <f t="shared" si="4"/>
        <v>0.26454163357981836</v>
      </c>
      <c r="F115" s="72">
        <f t="shared" si="5"/>
        <v>0.26292401362724577</v>
      </c>
    </row>
    <row r="116" spans="1:6" x14ac:dyDescent="0.3">
      <c r="A116" s="38">
        <v>46087</v>
      </c>
      <c r="B116" s="45">
        <v>7.2580200000000004E-3</v>
      </c>
      <c r="C116" s="74">
        <f t="shared" si="6"/>
        <v>2.6629408863224063E-4</v>
      </c>
      <c r="D116" s="74">
        <f t="shared" si="7"/>
        <v>2.6980102896402916E-4</v>
      </c>
      <c r="E116" s="72">
        <f t="shared" si="4"/>
        <v>0.25801845313477129</v>
      </c>
      <c r="F116" s="72">
        <f t="shared" si="5"/>
        <v>0.25971187350794589</v>
      </c>
    </row>
    <row r="117" spans="1:6" x14ac:dyDescent="0.3">
      <c r="A117" s="38">
        <v>46090</v>
      </c>
      <c r="B117" s="45">
        <v>-3.8631300000000002E-3</v>
      </c>
      <c r="C117" s="74">
        <f t="shared" si="6"/>
        <v>2.5121186971812016E-4</v>
      </c>
      <c r="D117" s="74">
        <f t="shared" si="7"/>
        <v>2.6215471129701528E-4</v>
      </c>
      <c r="E117" s="72">
        <f t="shared" si="4"/>
        <v>0.25060520231936534</v>
      </c>
      <c r="F117" s="72">
        <f t="shared" si="5"/>
        <v>0.25600523007207066</v>
      </c>
    </row>
    <row r="118" spans="1:6" x14ac:dyDescent="0.3">
      <c r="A118" s="38">
        <v>46091</v>
      </c>
      <c r="B118" s="45">
        <v>1.9381790000000003E-2</v>
      </c>
      <c r="C118" s="74">
        <f t="shared" si="6"/>
        <v>2.5867838455127893E-4</v>
      </c>
      <c r="D118" s="74">
        <f t="shared" si="7"/>
        <v>2.655596834662278E-4</v>
      </c>
      <c r="E118" s="72">
        <f t="shared" si="4"/>
        <v>0.25430217485861134</v>
      </c>
      <c r="F118" s="72">
        <f t="shared" si="5"/>
        <v>0.25766241648047344</v>
      </c>
    </row>
    <row r="119" spans="1:6" x14ac:dyDescent="0.3">
      <c r="A119" s="38">
        <v>46092</v>
      </c>
      <c r="B119" s="45">
        <v>-9.7209000000000028E-3</v>
      </c>
      <c r="C119" s="74">
        <f t="shared" si="6"/>
        <v>2.4882743528680218E-4</v>
      </c>
      <c r="D119" s="74">
        <f t="shared" si="7"/>
        <v>2.6042776986654094E-4</v>
      </c>
      <c r="E119" s="72">
        <f t="shared" si="4"/>
        <v>0.24941302857248765</v>
      </c>
      <c r="F119" s="72">
        <f t="shared" si="5"/>
        <v>0.2551606209167771</v>
      </c>
    </row>
    <row r="120" spans="1:6" x14ac:dyDescent="0.3">
      <c r="A120" s="38">
        <v>46093</v>
      </c>
      <c r="B120" s="45">
        <v>-9.2096699999999997E-3</v>
      </c>
      <c r="C120" s="74">
        <f t="shared" si="6"/>
        <v>2.3898687046012803E-4</v>
      </c>
      <c r="D120" s="74">
        <f t="shared" si="7"/>
        <v>2.5515947741581172E-4</v>
      </c>
      <c r="E120" s="72">
        <f t="shared" si="4"/>
        <v>0.24443141699673554</v>
      </c>
      <c r="F120" s="72">
        <f t="shared" si="5"/>
        <v>0.25256656420427653</v>
      </c>
    </row>
    <row r="121" spans="1:6" x14ac:dyDescent="0.3">
      <c r="A121" s="38">
        <v>46094</v>
      </c>
      <c r="B121" s="45">
        <v>-1.1316890000000001E-2</v>
      </c>
      <c r="C121" s="74">
        <f t="shared" si="6"/>
        <v>2.3233197818884631E-4</v>
      </c>
      <c r="D121" s="74">
        <f t="shared" si="7"/>
        <v>2.5134685307150032E-4</v>
      </c>
      <c r="E121" s="72">
        <f t="shared" si="4"/>
        <v>0.24100413802922882</v>
      </c>
      <c r="F121" s="72">
        <f t="shared" si="5"/>
        <v>0.25067252196416562</v>
      </c>
    </row>
    <row r="122" spans="1:6" x14ac:dyDescent="0.3">
      <c r="A122" s="38">
        <v>46097</v>
      </c>
      <c r="B122" s="45">
        <v>-5.4108899999999998E-3</v>
      </c>
      <c r="C122" s="74">
        <f t="shared" si="6"/>
        <v>2.201487233330415E-4</v>
      </c>
      <c r="D122" s="74">
        <f t="shared" si="7"/>
        <v>2.446847793971183E-4</v>
      </c>
      <c r="E122" s="72">
        <f t="shared" si="4"/>
        <v>0.23460004440165899</v>
      </c>
      <c r="F122" s="72">
        <f t="shared" si="5"/>
        <v>0.24732811172464722</v>
      </c>
    </row>
    <row r="123" spans="1:6" x14ac:dyDescent="0.3">
      <c r="A123" s="38">
        <v>46098</v>
      </c>
      <c r="B123" s="45">
        <v>1.3864999999999999E-3</v>
      </c>
      <c r="C123" s="74">
        <f t="shared" si="6"/>
        <v>2.0705514286805901E-4</v>
      </c>
      <c r="D123" s="74">
        <f t="shared" si="7"/>
        <v>2.3740190748270474E-4</v>
      </c>
      <c r="E123" s="72">
        <f t="shared" si="4"/>
        <v>0.22751656141260301</v>
      </c>
      <c r="F123" s="72">
        <f t="shared" si="5"/>
        <v>0.24361953302368056</v>
      </c>
    </row>
    <row r="124" spans="1:6" x14ac:dyDescent="0.3">
      <c r="A124" s="38">
        <v>46099</v>
      </c>
      <c r="B124" s="45">
        <v>-1.5983600000000001E-2</v>
      </c>
      <c r="C124" s="74">
        <f t="shared" si="6"/>
        <v>2.0996036243357545E-4</v>
      </c>
      <c r="D124" s="74">
        <f t="shared" si="7"/>
        <v>2.3794411432702359E-4</v>
      </c>
      <c r="E124" s="72">
        <f t="shared" si="4"/>
        <v>0.22910715966201026</v>
      </c>
      <c r="F124" s="72">
        <f t="shared" si="5"/>
        <v>0.24389757805635523</v>
      </c>
    </row>
    <row r="125" spans="1:6" x14ac:dyDescent="0.3">
      <c r="A125" s="38">
        <v>46100</v>
      </c>
      <c r="B125" s="45">
        <v>-3.7917470000000002E-2</v>
      </c>
      <c r="C125" s="74">
        <f t="shared" si="6"/>
        <v>2.836268125596149E-4</v>
      </c>
      <c r="D125" s="74">
        <f t="shared" si="7"/>
        <v>2.7393782683323987E-4</v>
      </c>
      <c r="E125" s="72">
        <f t="shared" si="4"/>
        <v>0.26628312590155562</v>
      </c>
      <c r="F125" s="72">
        <f t="shared" si="5"/>
        <v>0.26169535094898028</v>
      </c>
    </row>
    <row r="126" spans="1:6" x14ac:dyDescent="0.3">
      <c r="A126" s="38">
        <v>46101</v>
      </c>
      <c r="B126" s="45">
        <v>-7.6760300000000004E-3</v>
      </c>
      <c r="C126" s="74">
        <f t="shared" si="6"/>
        <v>2.7014448999969197E-4</v>
      </c>
      <c r="D126" s="74">
        <f t="shared" si="7"/>
        <v>2.6748733512506969E-4</v>
      </c>
      <c r="E126" s="72">
        <f t="shared" si="4"/>
        <v>0.2598771296207556</v>
      </c>
      <c r="F126" s="72">
        <f t="shared" si="5"/>
        <v>0.25859588894889146</v>
      </c>
    </row>
    <row r="127" spans="1:6" x14ac:dyDescent="0.3">
      <c r="A127" s="38">
        <v>46104</v>
      </c>
      <c r="B127" s="45">
        <v>-1.6289729999999999E-2</v>
      </c>
      <c r="C127" s="74">
        <f t="shared" si="6"/>
        <v>2.6985713880808441E-4</v>
      </c>
      <c r="D127" s="74">
        <f t="shared" si="7"/>
        <v>2.6742337417550463E-4</v>
      </c>
      <c r="E127" s="72">
        <f t="shared" si="4"/>
        <v>0.25973887791784483</v>
      </c>
      <c r="F127" s="72">
        <f t="shared" si="5"/>
        <v>0.25856496967662917</v>
      </c>
    </row>
    <row r="128" spans="1:6" x14ac:dyDescent="0.3">
      <c r="A128" s="38">
        <v>46105</v>
      </c>
      <c r="B128" s="45">
        <v>-1.0744699999999999E-3</v>
      </c>
      <c r="C128" s="74">
        <f t="shared" si="6"/>
        <v>2.5373497962645334E-4</v>
      </c>
      <c r="D128" s="74">
        <f t="shared" si="7"/>
        <v>2.594353075236665E-4</v>
      </c>
      <c r="E128" s="72">
        <f t="shared" si="4"/>
        <v>0.25186056639857962</v>
      </c>
      <c r="F128" s="72">
        <f t="shared" si="5"/>
        <v>0.25467396192174147</v>
      </c>
    </row>
    <row r="129" spans="1:6" x14ac:dyDescent="0.3">
      <c r="A129" s="38">
        <v>46106</v>
      </c>
      <c r="B129" s="45">
        <v>2.2398049999999999E-2</v>
      </c>
      <c r="C129" s="74">
        <f t="shared" si="6"/>
        <v>2.6861123947701611E-4</v>
      </c>
      <c r="D129" s="74">
        <f t="shared" si="7"/>
        <v>2.6670242761203151E-4</v>
      </c>
      <c r="E129" s="72">
        <f t="shared" si="4"/>
        <v>0.25913859201063438</v>
      </c>
      <c r="F129" s="72">
        <f t="shared" si="5"/>
        <v>0.25821620186000699</v>
      </c>
    </row>
    <row r="130" spans="1:6" x14ac:dyDescent="0.3">
      <c r="A130" s="38">
        <v>46107</v>
      </c>
      <c r="B130" s="45">
        <v>-2.9217729999999997E-2</v>
      </c>
      <c r="C130" s="74">
        <f t="shared" si="6"/>
        <v>3.037151098895691E-4</v>
      </c>
      <c r="D130" s="74">
        <f t="shared" si="7"/>
        <v>2.8431162717425755E-4</v>
      </c>
      <c r="E130" s="72">
        <f t="shared" si="4"/>
        <v>0.27555176913312002</v>
      </c>
      <c r="F130" s="72">
        <f t="shared" si="5"/>
        <v>0.26660440130193724</v>
      </c>
    </row>
    <row r="131" spans="1:6" x14ac:dyDescent="0.3">
      <c r="A131" s="38">
        <v>46108</v>
      </c>
      <c r="B131" s="45">
        <v>1.200003E-2</v>
      </c>
      <c r="C131" s="74">
        <f t="shared" si="6"/>
        <v>2.9413224649624893E-4</v>
      </c>
      <c r="D131" s="74">
        <f t="shared" si="7"/>
        <v>2.8010229995905679E-4</v>
      </c>
      <c r="E131" s="72">
        <f t="shared" ref="E131:E194" si="8">SQRT(C131*250)</f>
        <v>0.27116980219792586</v>
      </c>
      <c r="F131" s="72">
        <f t="shared" ref="F131:F194" si="9">SQRT(D131*250)</f>
        <v>0.26462345888028183</v>
      </c>
    </row>
    <row r="132" spans="1:6" x14ac:dyDescent="0.3">
      <c r="A132" s="38">
        <v>46111</v>
      </c>
      <c r="B132" s="45">
        <v>3.2631500000000003E-3</v>
      </c>
      <c r="C132" s="74">
        <f t="shared" ref="C132:C195" si="10">0.06*B132^2+0.94*C131</f>
        <v>2.7712320058182399E-4</v>
      </c>
      <c r="D132" s="74">
        <f t="shared" ref="D132:D195" si="11">0.03*B132^2+0.97*D131</f>
        <v>2.7201867539796006E-4</v>
      </c>
      <c r="E132" s="72">
        <f t="shared" si="8"/>
        <v>0.26321246198737624</v>
      </c>
      <c r="F132" s="72">
        <f t="shared" si="9"/>
        <v>0.26077704816469183</v>
      </c>
    </row>
    <row r="133" spans="1:6" x14ac:dyDescent="0.3">
      <c r="A133" s="38">
        <v>46112</v>
      </c>
      <c r="B133" s="45">
        <v>2.4393480000000002E-2</v>
      </c>
      <c r="C133" s="74">
        <f t="shared" si="10"/>
        <v>2.9619832053753858E-4</v>
      </c>
      <c r="D133" s="74">
        <f t="shared" si="11"/>
        <v>2.8170937113133329E-4</v>
      </c>
      <c r="E133" s="72">
        <f t="shared" si="8"/>
        <v>0.27212052501489969</v>
      </c>
      <c r="F133" s="72">
        <f t="shared" si="9"/>
        <v>0.26538150422143836</v>
      </c>
    </row>
    <row r="134" spans="1:6" x14ac:dyDescent="0.3">
      <c r="A134" s="38">
        <v>46113</v>
      </c>
      <c r="B134" s="45">
        <v>1.9010780000000001E-2</v>
      </c>
      <c r="C134" s="74">
        <f t="shared" si="10"/>
        <v>3.0011100667779025E-4</v>
      </c>
      <c r="D134" s="74">
        <f t="shared" si="11"/>
        <v>2.8410038268364532E-4</v>
      </c>
      <c r="E134" s="72">
        <f t="shared" si="8"/>
        <v>0.27391194145098452</v>
      </c>
      <c r="F134" s="72">
        <f t="shared" si="9"/>
        <v>0.26650533891633638</v>
      </c>
    </row>
    <row r="135" spans="1:6" x14ac:dyDescent="0.3">
      <c r="A135" s="38">
        <v>46114</v>
      </c>
      <c r="B135" s="45">
        <v>-1.6872679999999998E-2</v>
      </c>
      <c r="C135" s="74">
        <f t="shared" si="10"/>
        <v>2.9918558610006685E-4</v>
      </c>
      <c r="D135" s="74">
        <f t="shared" si="11"/>
        <v>2.8411799111460794E-4</v>
      </c>
      <c r="E135" s="72">
        <f t="shared" si="8"/>
        <v>0.27348929873948763</v>
      </c>
      <c r="F135" s="72">
        <f t="shared" si="9"/>
        <v>0.26651359773687344</v>
      </c>
    </row>
    <row r="136" spans="1:6" x14ac:dyDescent="0.3">
      <c r="A136" s="38">
        <v>46115</v>
      </c>
      <c r="B136" s="45">
        <v>-3.2834999999999993E-4</v>
      </c>
      <c r="C136" s="74">
        <f t="shared" si="10"/>
        <v>2.8124091975741279E-4</v>
      </c>
      <c r="D136" s="74">
        <f t="shared" si="11"/>
        <v>2.755976857928447E-4</v>
      </c>
      <c r="E136" s="72">
        <f t="shared" si="8"/>
        <v>0.26516076244300024</v>
      </c>
      <c r="F136" s="72">
        <f t="shared" si="9"/>
        <v>0.2624869929124321</v>
      </c>
    </row>
    <row r="137" spans="1:6" x14ac:dyDescent="0.3">
      <c r="A137" s="38">
        <v>46118</v>
      </c>
      <c r="B137" s="45">
        <v>1.23139E-3</v>
      </c>
      <c r="C137" s="74">
        <f t="shared" si="10"/>
        <v>2.6445744385189399E-4</v>
      </c>
      <c r="D137" s="74">
        <f t="shared" si="11"/>
        <v>2.6737524485902236E-4</v>
      </c>
      <c r="E137" s="72">
        <f t="shared" si="8"/>
        <v>0.25712712996293002</v>
      </c>
      <c r="F137" s="72">
        <f t="shared" si="9"/>
        <v>0.2585417011136803</v>
      </c>
    </row>
    <row r="138" spans="1:6" x14ac:dyDescent="0.3">
      <c r="A138" s="38">
        <v>46119</v>
      </c>
      <c r="B138" s="45">
        <v>-3.9487000000000002E-4</v>
      </c>
      <c r="C138" s="74">
        <f t="shared" si="10"/>
        <v>2.4859935255979436E-4</v>
      </c>
      <c r="D138" s="74">
        <f t="shared" si="11"/>
        <v>2.5935866518275871E-4</v>
      </c>
      <c r="E138" s="72">
        <f t="shared" si="8"/>
        <v>0.24929869261580292</v>
      </c>
      <c r="F138" s="72">
        <f t="shared" si="9"/>
        <v>0.25463634127062396</v>
      </c>
    </row>
    <row r="139" spans="1:6" x14ac:dyDescent="0.3">
      <c r="A139" s="38">
        <v>46120</v>
      </c>
      <c r="B139" s="45">
        <v>2.0794920000000001E-2</v>
      </c>
      <c r="C139" s="74">
        <f t="shared" si="10"/>
        <v>2.5962911327459065E-4</v>
      </c>
      <c r="D139" s="74">
        <f t="shared" si="11"/>
        <v>2.6455076616146793E-4</v>
      </c>
      <c r="E139" s="72">
        <f t="shared" si="8"/>
        <v>0.25476906860654741</v>
      </c>
      <c r="F139" s="72">
        <f t="shared" si="9"/>
        <v>0.25717249374761481</v>
      </c>
    </row>
    <row r="140" spans="1:6" x14ac:dyDescent="0.3">
      <c r="A140" s="38">
        <v>46121</v>
      </c>
      <c r="B140" s="45">
        <v>6.6523300000000014E-3</v>
      </c>
      <c r="C140" s="74">
        <f t="shared" si="10"/>
        <v>2.4670657614384923E-4</v>
      </c>
      <c r="D140" s="74">
        <f t="shared" si="11"/>
        <v>2.5794184800949089E-4</v>
      </c>
      <c r="E140" s="72">
        <f t="shared" si="8"/>
        <v>0.24834782873212785</v>
      </c>
      <c r="F140" s="72">
        <f t="shared" si="9"/>
        <v>0.25393987871614948</v>
      </c>
    </row>
    <row r="141" spans="1:6" x14ac:dyDescent="0.3">
      <c r="A141" s="38">
        <v>46122</v>
      </c>
      <c r="B141" s="45">
        <v>-2.5896199999999999E-3</v>
      </c>
      <c r="C141" s="74">
        <f t="shared" si="10"/>
        <v>2.3230654947988227E-4</v>
      </c>
      <c r="D141" s="74">
        <f t="shared" si="11"/>
        <v>2.5040477652153817E-4</v>
      </c>
      <c r="E141" s="72">
        <f t="shared" si="8"/>
        <v>0.24099094873038399</v>
      </c>
      <c r="F141" s="72">
        <f t="shared" si="9"/>
        <v>0.25020230640500607</v>
      </c>
    </row>
    <row r="142" spans="1:6" x14ac:dyDescent="0.3">
      <c r="A142" s="38">
        <v>46125</v>
      </c>
      <c r="B142" s="45">
        <v>-8.4338000000000034E-4</v>
      </c>
      <c r="C142" s="74">
        <f t="shared" si="10"/>
        <v>2.1841083390055334E-4</v>
      </c>
      <c r="D142" s="74">
        <f t="shared" si="11"/>
        <v>2.4291397192062402E-4</v>
      </c>
      <c r="E142" s="72">
        <f t="shared" si="8"/>
        <v>0.23367222444085717</v>
      </c>
      <c r="F142" s="72">
        <f t="shared" si="9"/>
        <v>0.24643151783032138</v>
      </c>
    </row>
    <row r="143" spans="1:6" x14ac:dyDescent="0.3">
      <c r="A143" s="38">
        <v>46126</v>
      </c>
      <c r="B143" s="45">
        <v>1.6929759999999999E-2</v>
      </c>
      <c r="C143" s="74">
        <f t="shared" si="10"/>
        <v>2.2250319028597611E-4</v>
      </c>
      <c r="D143" s="74">
        <f t="shared" si="11"/>
        <v>2.4422505597273333E-4</v>
      </c>
      <c r="E143" s="72">
        <f t="shared" si="8"/>
        <v>0.23585121914353979</v>
      </c>
      <c r="F143" s="72">
        <f t="shared" si="9"/>
        <v>0.24709565757654126</v>
      </c>
    </row>
    <row r="144" spans="1:6" x14ac:dyDescent="0.3">
      <c r="A144" s="38">
        <v>46127</v>
      </c>
      <c r="B144" s="45">
        <v>-1.7102000000000024E-4</v>
      </c>
      <c r="C144" s="74">
        <f t="shared" si="10"/>
        <v>2.0915475373924154E-4</v>
      </c>
      <c r="D144" s="74">
        <f t="shared" si="11"/>
        <v>2.3689918172876333E-4</v>
      </c>
      <c r="E144" s="72">
        <f t="shared" si="8"/>
        <v>0.22866720017267536</v>
      </c>
      <c r="F144" s="72">
        <f t="shared" si="9"/>
        <v>0.24336145017687338</v>
      </c>
    </row>
    <row r="145" spans="1:6" x14ac:dyDescent="0.3">
      <c r="A145" s="38">
        <v>46128</v>
      </c>
      <c r="B145" s="45">
        <v>-1.5834000000000004E-3</v>
      </c>
      <c r="C145" s="74">
        <f t="shared" si="10"/>
        <v>1.9675589784848703E-4</v>
      </c>
      <c r="D145" s="74">
        <f t="shared" si="11"/>
        <v>2.2986742094370042E-4</v>
      </c>
      <c r="E145" s="72">
        <f t="shared" si="8"/>
        <v>0.22178587525386226</v>
      </c>
      <c r="F145" s="72">
        <f t="shared" si="9"/>
        <v>0.23972245459264993</v>
      </c>
    </row>
    <row r="146" spans="1:6" x14ac:dyDescent="0.3">
      <c r="A146" s="38">
        <v>46129</v>
      </c>
      <c r="B146" s="45">
        <v>1.3176909999999997E-2</v>
      </c>
      <c r="C146" s="74">
        <f t="shared" si="10"/>
        <v>1.9536840140646378E-4</v>
      </c>
      <c r="D146" s="74">
        <f t="shared" si="11"/>
        <v>2.2818032702983241E-4</v>
      </c>
      <c r="E146" s="72">
        <f t="shared" si="8"/>
        <v>0.22100248946927259</v>
      </c>
      <c r="F146" s="72">
        <f t="shared" si="9"/>
        <v>0.23884112241709571</v>
      </c>
    </row>
    <row r="147" spans="1:6" x14ac:dyDescent="0.3">
      <c r="A147" s="38">
        <v>46132</v>
      </c>
      <c r="B147" s="45">
        <v>-8.1828300000000003E-3</v>
      </c>
      <c r="C147" s="74">
        <f t="shared" si="10"/>
        <v>1.8766381973060994E-4</v>
      </c>
      <c r="D147" s="74">
        <f t="shared" si="11"/>
        <v>2.2334367842320445E-4</v>
      </c>
      <c r="E147" s="72">
        <f t="shared" si="8"/>
        <v>0.21660091166163747</v>
      </c>
      <c r="F147" s="72">
        <f t="shared" si="9"/>
        <v>0.23629625389709655</v>
      </c>
    </row>
    <row r="148" spans="1:6" x14ac:dyDescent="0.3">
      <c r="A148" s="38">
        <v>46133</v>
      </c>
      <c r="B148" s="45">
        <v>-1.5664319999999999E-2</v>
      </c>
      <c r="C148" s="74">
        <f t="shared" si="10"/>
        <v>1.9112624581051733E-4</v>
      </c>
      <c r="D148" s="74">
        <f t="shared" si="11"/>
        <v>2.240044957023803E-4</v>
      </c>
      <c r="E148" s="72">
        <f t="shared" si="8"/>
        <v>0.21858993904713303</v>
      </c>
      <c r="F148" s="72">
        <f t="shared" si="9"/>
        <v>0.23664556603831619</v>
      </c>
    </row>
    <row r="149" spans="1:6" x14ac:dyDescent="0.3">
      <c r="A149" s="38">
        <v>46134</v>
      </c>
      <c r="B149" s="45">
        <v>7.6486899999999997E-3</v>
      </c>
      <c r="C149" s="74">
        <f t="shared" si="10"/>
        <v>1.8316881858485229E-4</v>
      </c>
      <c r="D149" s="74">
        <f t="shared" si="11"/>
        <v>2.1903943459279188E-4</v>
      </c>
      <c r="E149" s="72">
        <f t="shared" si="8"/>
        <v>0.2139911321672304</v>
      </c>
      <c r="F149" s="72">
        <f t="shared" si="9"/>
        <v>0.23400824482953153</v>
      </c>
    </row>
    <row r="150" spans="1:6" x14ac:dyDescent="0.3">
      <c r="A150" s="38">
        <v>46135</v>
      </c>
      <c r="B150" s="45">
        <v>-6.8626800000000003E-3</v>
      </c>
      <c r="C150" s="74">
        <f t="shared" si="10"/>
        <v>1.7500447207670515E-4</v>
      </c>
      <c r="D150" s="74">
        <f t="shared" si="11"/>
        <v>2.1388114285848011E-4</v>
      </c>
      <c r="E150" s="72">
        <f t="shared" si="8"/>
        <v>0.20916767919345544</v>
      </c>
      <c r="F150" s="72">
        <f t="shared" si="9"/>
        <v>0.23123642817389312</v>
      </c>
    </row>
    <row r="151" spans="1:6" x14ac:dyDescent="0.3">
      <c r="A151" s="38">
        <v>46136</v>
      </c>
      <c r="B151" s="45">
        <v>5.2792499999999992E-3</v>
      </c>
      <c r="C151" s="74">
        <f t="shared" si="10"/>
        <v>1.6617643258585283E-4</v>
      </c>
      <c r="D151" s="74">
        <f t="shared" si="11"/>
        <v>2.083008229896007E-4</v>
      </c>
      <c r="E151" s="72">
        <f t="shared" si="8"/>
        <v>0.20382371831183732</v>
      </c>
      <c r="F151" s="72">
        <f t="shared" si="9"/>
        <v>0.22819992495047009</v>
      </c>
    </row>
    <row r="152" spans="1:6" x14ac:dyDescent="0.3">
      <c r="A152" s="38">
        <v>46139</v>
      </c>
      <c r="B152" s="45">
        <v>-6.1428999999999997E-3</v>
      </c>
      <c r="C152" s="74">
        <f t="shared" si="10"/>
        <v>1.5846995985530166E-4</v>
      </c>
      <c r="D152" s="74">
        <f t="shared" si="11"/>
        <v>2.0318385491221265E-4</v>
      </c>
      <c r="E152" s="72">
        <f t="shared" si="8"/>
        <v>0.19904142775770428</v>
      </c>
      <c r="F152" s="72">
        <f t="shared" si="9"/>
        <v>0.22537959918336256</v>
      </c>
    </row>
    <row r="153" spans="1:6" x14ac:dyDescent="0.3">
      <c r="A153" s="38">
        <v>46140</v>
      </c>
      <c r="B153" s="45">
        <v>-1.238415E-2</v>
      </c>
      <c r="C153" s="74">
        <f t="shared" si="10"/>
        <v>1.5816379253733357E-4</v>
      </c>
      <c r="D153" s="74">
        <f t="shared" si="11"/>
        <v>2.0168935440152127E-4</v>
      </c>
      <c r="E153" s="72">
        <f t="shared" si="8"/>
        <v>0.19884905867097635</v>
      </c>
      <c r="F153" s="72">
        <f t="shared" si="9"/>
        <v>0.22454918971214374</v>
      </c>
    </row>
    <row r="154" spans="1:6" x14ac:dyDescent="0.3">
      <c r="A154" s="38">
        <v>46141</v>
      </c>
      <c r="B154" s="45">
        <v>-6.4471700000000003E-3</v>
      </c>
      <c r="C154" s="74">
        <f t="shared" si="10"/>
        <v>1.5116792504562754E-4</v>
      </c>
      <c r="D154" s="74">
        <f t="shared" si="11"/>
        <v>1.9688565379974264E-4</v>
      </c>
      <c r="E154" s="72">
        <f t="shared" si="8"/>
        <v>0.19440159788799805</v>
      </c>
      <c r="F154" s="72">
        <f t="shared" si="9"/>
        <v>0.22185899452114999</v>
      </c>
    </row>
    <row r="155" spans="1:6" x14ac:dyDescent="0.3">
      <c r="A155" s="38">
        <v>46142</v>
      </c>
      <c r="B155" s="45">
        <v>1.1812210000000002E-2</v>
      </c>
      <c r="C155" s="74">
        <f t="shared" si="10"/>
        <v>1.5046954784793588E-4</v>
      </c>
      <c r="D155" s="74">
        <f t="shared" si="11"/>
        <v>1.9516493333827337E-4</v>
      </c>
      <c r="E155" s="72">
        <f t="shared" si="8"/>
        <v>0.19395202231991285</v>
      </c>
      <c r="F155" s="72">
        <f t="shared" si="9"/>
        <v>0.22088737703763958</v>
      </c>
    </row>
    <row r="156" spans="1:6" x14ac:dyDescent="0.3">
      <c r="A156" s="38">
        <v>46143</v>
      </c>
      <c r="B156" s="45">
        <v>4.8472700000000007E-3</v>
      </c>
      <c r="C156" s="74">
        <f t="shared" si="10"/>
        <v>1.4285113656423374E-4</v>
      </c>
      <c r="D156" s="74">
        <f t="shared" si="11"/>
        <v>1.9001486613171216E-4</v>
      </c>
      <c r="E156" s="72">
        <f t="shared" si="8"/>
        <v>0.18897826367351997</v>
      </c>
      <c r="F156" s="72">
        <f t="shared" si="9"/>
        <v>0.21795347332155099</v>
      </c>
    </row>
    <row r="157" spans="1:6" x14ac:dyDescent="0.3">
      <c r="A157" s="38">
        <v>46146</v>
      </c>
      <c r="B157" s="45">
        <v>-1.5912530000000001E-2</v>
      </c>
      <c r="C157" s="74">
        <f t="shared" si="10"/>
        <v>1.4947258503043371E-4</v>
      </c>
      <c r="D157" s="74">
        <f t="shared" si="11"/>
        <v>1.9191067847778778E-4</v>
      </c>
      <c r="E157" s="72">
        <f t="shared" si="8"/>
        <v>0.19330842262459344</v>
      </c>
      <c r="F157" s="72">
        <f t="shared" si="9"/>
        <v>0.21903805518550182</v>
      </c>
    </row>
    <row r="158" spans="1:6" x14ac:dyDescent="0.3">
      <c r="A158" s="38">
        <v>46147</v>
      </c>
      <c r="B158" s="45">
        <v>5.9006400000000004E-3</v>
      </c>
      <c r="C158" s="74">
        <f t="shared" si="10"/>
        <v>1.4259328307318368E-4</v>
      </c>
      <c r="D158" s="74">
        <f t="shared" si="11"/>
        <v>1.8719788469574215E-4</v>
      </c>
      <c r="E158" s="72">
        <f t="shared" si="8"/>
        <v>0.18880762899919037</v>
      </c>
      <c r="F158" s="72">
        <f t="shared" si="9"/>
        <v>0.21633185427471271</v>
      </c>
    </row>
    <row r="159" spans="1:6" x14ac:dyDescent="0.3">
      <c r="A159" s="38">
        <v>46148</v>
      </c>
      <c r="B159" s="45">
        <v>2.2139630000000004E-2</v>
      </c>
      <c r="C159" s="74">
        <f t="shared" si="10"/>
        <v>1.6344747908100666E-4</v>
      </c>
      <c r="D159" s="74">
        <f t="shared" si="11"/>
        <v>1.9628684465097687E-4</v>
      </c>
      <c r="E159" s="72">
        <f t="shared" si="8"/>
        <v>0.20214319125375374</v>
      </c>
      <c r="F159" s="72">
        <f t="shared" si="9"/>
        <v>0.22152135599698783</v>
      </c>
    </row>
    <row r="160" spans="1:6" x14ac:dyDescent="0.3">
      <c r="A160" s="38">
        <v>46149</v>
      </c>
      <c r="B160" s="45">
        <v>4.3909800000000001E-3</v>
      </c>
      <c r="C160" s="74">
        <f t="shared" si="10"/>
        <v>1.5479747265777027E-4</v>
      </c>
      <c r="D160" s="74">
        <f t="shared" si="11"/>
        <v>1.9097666047225958E-4</v>
      </c>
      <c r="E160" s="72">
        <f t="shared" si="8"/>
        <v>0.1967215498221854</v>
      </c>
      <c r="F160" s="72">
        <f t="shared" si="9"/>
        <v>0.21850438237725325</v>
      </c>
    </row>
    <row r="161" spans="1:6" x14ac:dyDescent="0.3">
      <c r="A161" s="38">
        <v>46150</v>
      </c>
      <c r="B161" s="45">
        <v>5.8939100000000005E-3</v>
      </c>
      <c r="C161" s="74">
        <f t="shared" si="10"/>
        <v>1.4759391480359004E-4</v>
      </c>
      <c r="D161" s="74">
        <f t="shared" si="11"/>
        <v>1.8628950591073479E-4</v>
      </c>
      <c r="E161" s="72">
        <f t="shared" si="8"/>
        <v>0.19208976729877494</v>
      </c>
      <c r="F161" s="72">
        <f t="shared" si="9"/>
        <v>0.21580634021660183</v>
      </c>
    </row>
    <row r="162" spans="1:6" x14ac:dyDescent="0.3">
      <c r="A162" s="38">
        <v>46153</v>
      </c>
      <c r="B162" s="45">
        <v>5.83966E-3</v>
      </c>
      <c r="C162" s="74">
        <f t="shared" si="10"/>
        <v>1.4078437765031063E-4</v>
      </c>
      <c r="D162" s="74">
        <f t="shared" si="11"/>
        <v>1.8172386960088073E-4</v>
      </c>
      <c r="E162" s="72">
        <f t="shared" si="8"/>
        <v>0.18760622167875365</v>
      </c>
      <c r="F162" s="72">
        <f t="shared" si="9"/>
        <v>0.21314541374427973</v>
      </c>
    </row>
    <row r="163" spans="1:6" x14ac:dyDescent="0.3">
      <c r="A163" s="38">
        <v>46154</v>
      </c>
      <c r="B163" s="45">
        <v>-5.4520300000000001E-3</v>
      </c>
      <c r="C163" s="74">
        <f t="shared" si="10"/>
        <v>1.3412079285854598E-4</v>
      </c>
      <c r="D163" s="74">
        <f t="shared" si="11"/>
        <v>1.7716389244648131E-4</v>
      </c>
      <c r="E163" s="72">
        <f t="shared" si="8"/>
        <v>0.18311252883032469</v>
      </c>
      <c r="F163" s="72">
        <f t="shared" si="9"/>
        <v>0.21045420668549328</v>
      </c>
    </row>
    <row r="164" spans="1:6" x14ac:dyDescent="0.3">
      <c r="A164" s="38">
        <v>46155</v>
      </c>
      <c r="B164" s="45">
        <v>6.9029599999999997E-3</v>
      </c>
      <c r="C164" s="74">
        <f t="shared" si="10"/>
        <v>1.2893259669272922E-4</v>
      </c>
      <c r="D164" s="74">
        <f t="shared" si="11"/>
        <v>1.7327850137593487E-4</v>
      </c>
      <c r="E164" s="72">
        <f t="shared" si="8"/>
        <v>0.17953592724906708</v>
      </c>
      <c r="F164" s="72">
        <f t="shared" si="9"/>
        <v>0.20813367181689685</v>
      </c>
    </row>
    <row r="165" spans="1:6" x14ac:dyDescent="0.3">
      <c r="A165" s="38">
        <v>46156</v>
      </c>
      <c r="B165" s="45">
        <v>-4.38939E-3</v>
      </c>
      <c r="C165" s="74">
        <f t="shared" si="10"/>
        <v>1.2235264556549147E-4</v>
      </c>
      <c r="D165" s="74">
        <f t="shared" si="11"/>
        <v>1.6865814867181983E-4</v>
      </c>
      <c r="E165" s="72">
        <f t="shared" si="8"/>
        <v>0.1748947151613589</v>
      </c>
      <c r="F165" s="72">
        <f t="shared" si="9"/>
        <v>0.20534005251765899</v>
      </c>
    </row>
    <row r="166" spans="1:6" x14ac:dyDescent="0.3">
      <c r="A166" s="38">
        <v>46157</v>
      </c>
      <c r="B166" s="45">
        <v>-2.3869210000000002E-2</v>
      </c>
      <c r="C166" s="74">
        <f t="shared" si="10"/>
        <v>1.4919583799300796E-4</v>
      </c>
      <c r="D166" s="74">
        <f t="shared" si="11"/>
        <v>1.8069057979238823E-4</v>
      </c>
      <c r="E166" s="72">
        <f t="shared" si="8"/>
        <v>0.1931293853825771</v>
      </c>
      <c r="F166" s="72">
        <f t="shared" si="9"/>
        <v>0.21253857284760586</v>
      </c>
    </row>
    <row r="167" spans="1:6" x14ac:dyDescent="0.3">
      <c r="A167" s="38">
        <v>46160</v>
      </c>
      <c r="B167" s="45">
        <v>-1.38394E-3</v>
      </c>
      <c r="C167" s="74">
        <f t="shared" si="10"/>
        <v>1.4035900510884347E-4</v>
      </c>
      <c r="D167" s="74">
        <f t="shared" si="11"/>
        <v>1.7532732109632458E-4</v>
      </c>
      <c r="E167" s="72">
        <f t="shared" si="8"/>
        <v>0.18732258613741928</v>
      </c>
      <c r="F167" s="72">
        <f t="shared" si="9"/>
        <v>0.20936052701997371</v>
      </c>
    </row>
    <row r="168" spans="1:6" x14ac:dyDescent="0.3">
      <c r="A168" s="38">
        <v>46161</v>
      </c>
      <c r="B168" s="45">
        <v>-8.2525399999999992E-3</v>
      </c>
      <c r="C168" s="74">
        <f t="shared" si="10"/>
        <v>1.3602372978940884E-4</v>
      </c>
      <c r="D168" s="74">
        <f t="shared" si="11"/>
        <v>1.7211063395698283E-4</v>
      </c>
      <c r="E168" s="72">
        <f t="shared" si="8"/>
        <v>0.18440697505070738</v>
      </c>
      <c r="F168" s="72">
        <f t="shared" si="9"/>
        <v>0.20743109335209539</v>
      </c>
    </row>
    <row r="169" spans="1:6" x14ac:dyDescent="0.3">
      <c r="A169" s="38">
        <v>46162</v>
      </c>
      <c r="B169" s="45">
        <v>6.0534199999999995E-3</v>
      </c>
      <c r="C169" s="74">
        <f t="shared" si="10"/>
        <v>1.300609396238283E-4</v>
      </c>
      <c r="D169" s="74">
        <f t="shared" si="11"/>
        <v>1.6804663174916536E-4</v>
      </c>
      <c r="E169" s="72">
        <f t="shared" si="8"/>
        <v>0.18031981284916274</v>
      </c>
      <c r="F169" s="72">
        <f t="shared" si="9"/>
        <v>0.2049674558004059</v>
      </c>
    </row>
    <row r="170" spans="1:6" x14ac:dyDescent="0.3">
      <c r="A170" s="38">
        <v>46163</v>
      </c>
      <c r="B170" s="45">
        <v>2.1020500000000003E-3</v>
      </c>
      <c r="C170" s="74">
        <f t="shared" si="10"/>
        <v>1.225224000985486E-4</v>
      </c>
      <c r="D170" s="74">
        <f t="shared" si="11"/>
        <v>1.6313779122276541E-4</v>
      </c>
      <c r="E170" s="72">
        <f t="shared" si="8"/>
        <v>0.17501599933902373</v>
      </c>
      <c r="F170" s="72">
        <f t="shared" si="9"/>
        <v>0.20195159768046242</v>
      </c>
    </row>
    <row r="171" spans="1:6" x14ac:dyDescent="0.3">
      <c r="A171" s="38">
        <v>46164</v>
      </c>
      <c r="B171" s="45">
        <v>-1.8710600000000001E-3</v>
      </c>
      <c r="C171" s="74">
        <f t="shared" si="10"/>
        <v>1.1538110802405167E-4</v>
      </c>
      <c r="D171" s="74">
        <f t="shared" si="11"/>
        <v>1.5834868345179044E-4</v>
      </c>
      <c r="E171" s="72">
        <f t="shared" si="8"/>
        <v>0.16983897375459178</v>
      </c>
      <c r="F171" s="72">
        <f t="shared" si="9"/>
        <v>0.19896525039048302</v>
      </c>
    </row>
    <row r="172" spans="1:6" x14ac:dyDescent="0.3">
      <c r="A172" s="38">
        <v>46167</v>
      </c>
      <c r="B172" s="45">
        <v>2.4521999999999999E-4</v>
      </c>
      <c r="C172" s="74">
        <f t="shared" si="10"/>
        <v>1.0846184951351257E-4</v>
      </c>
      <c r="D172" s="74">
        <f t="shared" si="11"/>
        <v>1.536000269336887E-4</v>
      </c>
      <c r="E172" s="72">
        <f t="shared" si="8"/>
        <v>0.1646677332642256</v>
      </c>
      <c r="F172" s="72">
        <f t="shared" si="9"/>
        <v>0.19595919660332908</v>
      </c>
    </row>
    <row r="173" spans="1:6" x14ac:dyDescent="0.3">
      <c r="A173" s="38">
        <v>46168</v>
      </c>
      <c r="B173" s="45">
        <v>3.0871000000000002E-4</v>
      </c>
      <c r="C173" s="74">
        <f t="shared" si="10"/>
        <v>1.0195985665454781E-4</v>
      </c>
      <c r="D173" s="74">
        <f t="shared" si="11"/>
        <v>1.4899488518160104E-4</v>
      </c>
      <c r="E173" s="72">
        <f t="shared" si="8"/>
        <v>0.15965576771177717</v>
      </c>
      <c r="F173" s="72">
        <f t="shared" si="9"/>
        <v>0.19299927796600758</v>
      </c>
    </row>
    <row r="174" spans="1:6" x14ac:dyDescent="0.3">
      <c r="A174" s="38">
        <v>46169</v>
      </c>
      <c r="B174" s="45">
        <v>-7.7462500000000005E-3</v>
      </c>
      <c r="C174" s="74">
        <f t="shared" si="10"/>
        <v>9.9442528599024931E-5</v>
      </c>
      <c r="D174" s="74">
        <f t="shared" si="11"/>
        <v>1.46325170298028E-4</v>
      </c>
      <c r="E174" s="72">
        <f t="shared" si="8"/>
        <v>0.15767254722923782</v>
      </c>
      <c r="F174" s="72">
        <f t="shared" si="9"/>
        <v>0.19126236580808834</v>
      </c>
    </row>
    <row r="175" spans="1:6" x14ac:dyDescent="0.3">
      <c r="A175" s="38">
        <v>46170</v>
      </c>
      <c r="B175" s="45">
        <v>8.324670000000001E-3</v>
      </c>
      <c r="C175" s="74">
        <f t="shared" si="10"/>
        <v>9.763398471961743E-5</v>
      </c>
      <c r="D175" s="74">
        <f t="shared" si="11"/>
        <v>1.4401441910735416E-4</v>
      </c>
      <c r="E175" s="72">
        <f t="shared" si="8"/>
        <v>0.15623218676029713</v>
      </c>
      <c r="F175" s="72">
        <f t="shared" si="9"/>
        <v>0.18974615879336937</v>
      </c>
    </row>
    <row r="176" spans="1:6" x14ac:dyDescent="0.3">
      <c r="A176" s="38">
        <v>46171</v>
      </c>
      <c r="B176" s="45">
        <v>7.8096199999999998E-3</v>
      </c>
      <c r="C176" s="74">
        <f t="shared" si="10"/>
        <v>9.543535550910437E-5</v>
      </c>
      <c r="D176" s="74">
        <f t="shared" si="11"/>
        <v>1.4152369147046553E-4</v>
      </c>
      <c r="E176" s="72">
        <f t="shared" si="8"/>
        <v>0.15446306638570947</v>
      </c>
      <c r="F176" s="72">
        <f t="shared" si="9"/>
        <v>0.1880981734829352</v>
      </c>
    </row>
    <row r="177" spans="1:6" x14ac:dyDescent="0.3">
      <c r="A177" s="38">
        <v>46174</v>
      </c>
      <c r="B177" s="45">
        <v>-9.3779200000000014E-3</v>
      </c>
      <c r="C177" s="74">
        <f t="shared" si="10"/>
        <v>9.4985957190142102E-5</v>
      </c>
      <c r="D177" s="74">
        <f t="shared" si="11"/>
        <v>1.3991634223214355E-4</v>
      </c>
      <c r="E177" s="72">
        <f t="shared" si="8"/>
        <v>0.15409895943041124</v>
      </c>
      <c r="F177" s="72">
        <f t="shared" si="9"/>
        <v>0.18702696478859909</v>
      </c>
    </row>
    <row r="178" spans="1:6" x14ac:dyDescent="0.3">
      <c r="A178" s="38">
        <v>46175</v>
      </c>
      <c r="B178" s="45">
        <v>2.4169899999999999E-3</v>
      </c>
      <c r="C178" s="74">
        <f t="shared" si="10"/>
        <v>8.9637310198339572E-5</v>
      </c>
      <c r="D178" s="74">
        <f t="shared" si="11"/>
        <v>1.3589410718498223E-4</v>
      </c>
      <c r="E178" s="72">
        <f t="shared" si="8"/>
        <v>0.14969745338376633</v>
      </c>
      <c r="F178" s="72">
        <f t="shared" si="9"/>
        <v>0.18431908961430327</v>
      </c>
    </row>
    <row r="179" spans="1:6" x14ac:dyDescent="0.3">
      <c r="A179" s="38">
        <v>46176</v>
      </c>
      <c r="B179" s="45">
        <v>-9.02354E-3</v>
      </c>
      <c r="C179" s="74">
        <f t="shared" si="10"/>
        <v>8.9144528034335195E-5</v>
      </c>
      <c r="D179" s="74">
        <f t="shared" si="11"/>
        <v>1.3426001219338078E-4</v>
      </c>
      <c r="E179" s="72">
        <f t="shared" si="8"/>
        <v>0.14928540453970643</v>
      </c>
      <c r="F179" s="72">
        <f t="shared" si="9"/>
        <v>0.18320754091561076</v>
      </c>
    </row>
    <row r="180" spans="1:6" x14ac:dyDescent="0.3">
      <c r="A180" s="38">
        <v>46177</v>
      </c>
      <c r="B180" s="45">
        <v>4.6153100000000001E-3</v>
      </c>
      <c r="C180" s="74">
        <f t="shared" si="10"/>
        <v>8.5073921536041083E-5</v>
      </c>
      <c r="D180" s="74">
        <f t="shared" si="11"/>
        <v>1.3087124441946236E-4</v>
      </c>
      <c r="E180" s="72">
        <f t="shared" si="8"/>
        <v>0.14583717078992678</v>
      </c>
      <c r="F180" s="72">
        <f t="shared" si="9"/>
        <v>0.18088065431346048</v>
      </c>
    </row>
    <row r="181" spans="1:6" x14ac:dyDescent="0.3">
      <c r="A181" s="38">
        <v>46178</v>
      </c>
      <c r="B181" s="45">
        <v>-2.8188750000000002E-2</v>
      </c>
      <c r="C181" s="74">
        <f t="shared" si="10"/>
        <v>1.2764582383762861E-4</v>
      </c>
      <c r="D181" s="74">
        <f t="shared" si="11"/>
        <v>1.5078327588375349E-4</v>
      </c>
      <c r="E181" s="72">
        <f t="shared" si="8"/>
        <v>0.1786377786455238</v>
      </c>
      <c r="F181" s="72">
        <f t="shared" si="9"/>
        <v>0.19415411139334229</v>
      </c>
    </row>
    <row r="182" spans="1:6" x14ac:dyDescent="0.3">
      <c r="A182" s="38">
        <v>46181</v>
      </c>
      <c r="B182" s="45">
        <v>-3.2319999999999962E-5</v>
      </c>
      <c r="C182" s="74">
        <f t="shared" si="10"/>
        <v>1.1998713708231489E-4</v>
      </c>
      <c r="D182" s="74">
        <f t="shared" si="11"/>
        <v>1.4625980894471288E-4</v>
      </c>
      <c r="E182" s="72">
        <f t="shared" si="8"/>
        <v>0.17319579749687555</v>
      </c>
      <c r="F182" s="72">
        <f t="shared" si="9"/>
        <v>0.19121964395997137</v>
      </c>
    </row>
    <row r="183" spans="1:6" x14ac:dyDescent="0.3">
      <c r="A183" s="38">
        <v>46182</v>
      </c>
      <c r="B183" s="45">
        <v>-1.409557E-2</v>
      </c>
      <c r="C183" s="74">
        <f t="shared" si="10"/>
        <v>1.2470901447486998E-4</v>
      </c>
      <c r="D183" s="74">
        <f t="shared" si="11"/>
        <v>1.4783256748511847E-4</v>
      </c>
      <c r="E183" s="72">
        <f t="shared" si="8"/>
        <v>0.17657081757390572</v>
      </c>
      <c r="F183" s="72">
        <f t="shared" si="9"/>
        <v>0.19224500480189236</v>
      </c>
    </row>
    <row r="184" spans="1:6" x14ac:dyDescent="0.3">
      <c r="A184" s="38">
        <v>46183</v>
      </c>
      <c r="B184" s="45">
        <v>-2.2178779999999999E-2</v>
      </c>
      <c r="C184" s="74">
        <f t="shared" si="10"/>
        <v>1.4674037054368178E-4</v>
      </c>
      <c r="D184" s="74">
        <f t="shared" si="11"/>
        <v>1.581545389292169E-4</v>
      </c>
      <c r="E184" s="72">
        <f t="shared" si="8"/>
        <v>0.19153352875128793</v>
      </c>
      <c r="F184" s="72">
        <f t="shared" si="9"/>
        <v>0.19884324160580422</v>
      </c>
    </row>
    <row r="185" spans="1:6" x14ac:dyDescent="0.3">
      <c r="A185" s="38">
        <v>46184</v>
      </c>
      <c r="B185" s="45">
        <v>1.8394699999999995E-3</v>
      </c>
      <c r="C185" s="74">
        <f t="shared" si="10"/>
        <v>1.3813896730391486E-4</v>
      </c>
      <c r="D185" s="74">
        <f t="shared" si="11"/>
        <v>1.5351141225776739E-4</v>
      </c>
      <c r="E185" s="72">
        <f t="shared" si="8"/>
        <v>0.18583525452932423</v>
      </c>
      <c r="F185" s="72">
        <f t="shared" si="9"/>
        <v>0.19590266221887301</v>
      </c>
    </row>
    <row r="186" spans="1:6" x14ac:dyDescent="0.3">
      <c r="A186" s="38">
        <v>46185</v>
      </c>
      <c r="B186" s="45">
        <v>2.2033779999999996E-2</v>
      </c>
      <c r="C186" s="74">
        <f t="shared" si="10"/>
        <v>1.5897987693098395E-4</v>
      </c>
      <c r="D186" s="74">
        <f t="shared" si="11"/>
        <v>1.6347069372268637E-4</v>
      </c>
      <c r="E186" s="72">
        <f t="shared" si="8"/>
        <v>0.19936140356835871</v>
      </c>
      <c r="F186" s="72">
        <f t="shared" si="9"/>
        <v>0.20215754606413186</v>
      </c>
    </row>
    <row r="187" spans="1:6" x14ac:dyDescent="0.3">
      <c r="A187" s="38">
        <v>46188</v>
      </c>
      <c r="B187" s="45">
        <v>2.1135859999999999E-2</v>
      </c>
      <c r="C187" s="74">
        <f t="shared" si="10"/>
        <v>1.7624455899150089E-4</v>
      </c>
      <c r="D187" s="74">
        <f t="shared" si="11"/>
        <v>1.7196831024919379E-4</v>
      </c>
      <c r="E187" s="72">
        <f t="shared" si="8"/>
        <v>0.20990745519841647</v>
      </c>
      <c r="F187" s="72">
        <f t="shared" si="9"/>
        <v>0.20734530995973469</v>
      </c>
    </row>
    <row r="188" spans="1:6" x14ac:dyDescent="0.3">
      <c r="A188" s="38">
        <v>46189</v>
      </c>
      <c r="B188" s="45">
        <v>-2.1827399999999999E-3</v>
      </c>
      <c r="C188" s="74">
        <f t="shared" si="10"/>
        <v>1.6595574668646683E-4</v>
      </c>
      <c r="D188" s="74">
        <f t="shared" si="11"/>
        <v>1.6695219155894598E-4</v>
      </c>
      <c r="E188" s="72">
        <f t="shared" si="8"/>
        <v>0.20368833219312465</v>
      </c>
      <c r="F188" s="72">
        <f t="shared" si="9"/>
        <v>0.20429891798474237</v>
      </c>
    </row>
    <row r="189" spans="1:6" x14ac:dyDescent="0.3">
      <c r="A189" s="38">
        <v>46190</v>
      </c>
      <c r="B189" s="45">
        <v>2.2553599999999992E-3</v>
      </c>
      <c r="C189" s="74">
        <f t="shared" si="10"/>
        <v>1.5630360080905482E-4</v>
      </c>
      <c r="D189" s="74">
        <f t="shared" si="11"/>
        <v>1.6209622527406557E-4</v>
      </c>
      <c r="E189" s="72">
        <f t="shared" si="8"/>
        <v>0.19767625098191158</v>
      </c>
      <c r="F189" s="72">
        <f t="shared" si="9"/>
        <v>0.20130587750613838</v>
      </c>
    </row>
    <row r="190" spans="1:6" x14ac:dyDescent="0.3">
      <c r="A190" s="38">
        <v>46191</v>
      </c>
      <c r="B190" s="45">
        <v>-1.8631949999999994E-2</v>
      </c>
      <c r="C190" s="74">
        <f t="shared" si="10"/>
        <v>1.6775435840866149E-4</v>
      </c>
      <c r="D190" s="74">
        <f t="shared" si="11"/>
        <v>1.6764782533991858E-4</v>
      </c>
      <c r="E190" s="72">
        <f t="shared" si="8"/>
        <v>0.20478913448268043</v>
      </c>
      <c r="F190" s="72">
        <f t="shared" si="9"/>
        <v>0.20472409808075756</v>
      </c>
    </row>
    <row r="191" spans="1:6" x14ac:dyDescent="0.3">
      <c r="A191" s="38">
        <v>46192</v>
      </c>
      <c r="B191" s="45">
        <v>-3.7859999999999999E-4</v>
      </c>
      <c r="C191" s="74">
        <f t="shared" si="10"/>
        <v>1.576976971817418E-4</v>
      </c>
      <c r="D191" s="74">
        <f t="shared" si="11"/>
        <v>1.6262269071852102E-4</v>
      </c>
      <c r="E191" s="72">
        <f t="shared" si="8"/>
        <v>0.19855584679237084</v>
      </c>
      <c r="F191" s="72">
        <f t="shared" si="9"/>
        <v>0.20163251890414466</v>
      </c>
    </row>
    <row r="192" spans="1:6" x14ac:dyDescent="0.3">
      <c r="A192" s="38">
        <v>46195</v>
      </c>
      <c r="B192" s="45">
        <v>-6.4478199999999999E-3</v>
      </c>
      <c r="C192" s="74">
        <f t="shared" si="10"/>
        <v>1.5073029831598128E-4</v>
      </c>
      <c r="D192" s="74">
        <f t="shared" si="11"/>
        <v>1.5899124147953739E-4</v>
      </c>
      <c r="E192" s="72">
        <f t="shared" si="8"/>
        <v>0.19412000046104297</v>
      </c>
      <c r="F192" s="72">
        <f t="shared" si="9"/>
        <v>0.19936852903576419</v>
      </c>
    </row>
    <row r="193" spans="1:6" x14ac:dyDescent="0.3">
      <c r="A193" s="38">
        <v>46196</v>
      </c>
      <c r="B193" s="45">
        <v>-1.5583780000000002E-2</v>
      </c>
      <c r="C193" s="74">
        <f t="shared" si="10"/>
        <v>1.5625773236232641E-4</v>
      </c>
      <c r="D193" s="74">
        <f t="shared" si="11"/>
        <v>1.6150713020780325E-4</v>
      </c>
      <c r="E193" s="72">
        <f t="shared" si="8"/>
        <v>0.19764724407535159</v>
      </c>
      <c r="F193" s="72">
        <f t="shared" si="9"/>
        <v>0.20093974856148003</v>
      </c>
    </row>
    <row r="194" spans="1:6" x14ac:dyDescent="0.3">
      <c r="A194" s="38">
        <v>46197</v>
      </c>
      <c r="B194" s="45">
        <v>-2.3469630000000002E-2</v>
      </c>
      <c r="C194" s="74">
        <f t="shared" si="10"/>
        <v>1.7993168036080083E-4</v>
      </c>
      <c r="D194" s="74">
        <f t="shared" si="11"/>
        <v>1.7318662227167614E-4</v>
      </c>
      <c r="E194" s="72">
        <f t="shared" si="8"/>
        <v>0.21209177280177607</v>
      </c>
      <c r="F194" s="72">
        <f t="shared" si="9"/>
        <v>0.20807848415422253</v>
      </c>
    </row>
    <row r="195" spans="1:6" x14ac:dyDescent="0.3">
      <c r="A195" s="38">
        <v>46198</v>
      </c>
      <c r="B195" s="45">
        <v>5.9403400000000006E-3</v>
      </c>
      <c r="C195" s="74">
        <f t="shared" si="10"/>
        <v>1.7125303789808876E-4</v>
      </c>
      <c r="D195" s="74">
        <f t="shared" si="11"/>
        <v>1.6904965278299387E-4</v>
      </c>
      <c r="E195" s="72">
        <f t="shared" ref="E195:E251" si="12">SQRT(C195*250)</f>
        <v>0.2069136522187992</v>
      </c>
      <c r="F195" s="72">
        <f t="shared" ref="F195:F251" si="13">SQRT(D195*250)</f>
        <v>0.20557824105616934</v>
      </c>
    </row>
    <row r="196" spans="1:6" x14ac:dyDescent="0.3">
      <c r="A196" s="38">
        <v>46199</v>
      </c>
      <c r="B196" s="45">
        <v>6.3684600000000011E-3</v>
      </c>
      <c r="C196" s="74">
        <f t="shared" ref="C196:C251" si="14">0.06*B196^2+0.94*C195</f>
        <v>1.6341129259049943E-4</v>
      </c>
      <c r="D196" s="74">
        <f t="shared" ref="D196:D251" si="15">0.03*B196^2+0.97*D195</f>
        <v>1.6519488168265206E-4</v>
      </c>
      <c r="E196" s="72">
        <f t="shared" si="12"/>
        <v>0.20212081324699063</v>
      </c>
      <c r="F196" s="72">
        <f t="shared" si="13"/>
        <v>0.2032208661054839</v>
      </c>
    </row>
    <row r="197" spans="1:6" x14ac:dyDescent="0.3">
      <c r="A197" s="38">
        <v>46202</v>
      </c>
      <c r="B197" s="45">
        <v>-4.8290799999999995E-3</v>
      </c>
      <c r="C197" s="74">
        <f t="shared" si="14"/>
        <v>1.5500581585385347E-4</v>
      </c>
      <c r="D197" s="74">
        <f t="shared" si="15"/>
        <v>1.6093863564156449E-4</v>
      </c>
      <c r="E197" s="72">
        <f t="shared" si="12"/>
        <v>0.19685388988654345</v>
      </c>
      <c r="F197" s="72">
        <f t="shared" si="13"/>
        <v>0.20058578940291638</v>
      </c>
    </row>
    <row r="198" spans="1:6" x14ac:dyDescent="0.3">
      <c r="A198" s="38">
        <v>46203</v>
      </c>
      <c r="B198" s="45">
        <v>4.7839700000000002E-3</v>
      </c>
      <c r="C198" s="74">
        <f t="shared" si="14"/>
        <v>1.4707864904027623E-4</v>
      </c>
      <c r="D198" s="74">
        <f t="shared" si="15"/>
        <v>1.5679706764114455E-4</v>
      </c>
      <c r="E198" s="72">
        <f t="shared" si="12"/>
        <v>0.19175417142807888</v>
      </c>
      <c r="F198" s="72">
        <f t="shared" si="13"/>
        <v>0.19798804739247808</v>
      </c>
    </row>
    <row r="199" spans="1:6" x14ac:dyDescent="0.3">
      <c r="A199" s="38">
        <v>46204</v>
      </c>
      <c r="B199" s="45">
        <v>5.0941100000000007E-3</v>
      </c>
      <c r="C199" s="74">
        <f t="shared" si="14"/>
        <v>1.3981092749938565E-4</v>
      </c>
      <c r="D199" s="74">
        <f t="shared" si="15"/>
        <v>1.5287165431267322E-4</v>
      </c>
      <c r="E199" s="72">
        <f t="shared" si="12"/>
        <v>0.18695649727903657</v>
      </c>
      <c r="F199" s="72">
        <f t="shared" si="13"/>
        <v>0.19549402440527</v>
      </c>
    </row>
    <row r="200" spans="1:6" x14ac:dyDescent="0.3">
      <c r="A200" s="38">
        <v>46205</v>
      </c>
      <c r="B200" s="45">
        <v>4.3631399999999997E-3</v>
      </c>
      <c r="C200" s="74">
        <f t="shared" si="14"/>
        <v>1.325644912889985E-4</v>
      </c>
      <c r="D200" s="74">
        <f t="shared" si="15"/>
        <v>1.4885661440308101E-4</v>
      </c>
      <c r="E200" s="72">
        <f t="shared" si="12"/>
        <v>0.18204703464283517</v>
      </c>
      <c r="F200" s="72">
        <f t="shared" si="13"/>
        <v>0.19290970323125339</v>
      </c>
    </row>
    <row r="201" spans="1:6" x14ac:dyDescent="0.3">
      <c r="A201" s="38">
        <v>46206</v>
      </c>
      <c r="B201" s="45">
        <v>1.8699E-4</v>
      </c>
      <c r="C201" s="74">
        <f t="shared" si="14"/>
        <v>1.2461271972726457E-4</v>
      </c>
      <c r="D201" s="74">
        <f t="shared" si="15"/>
        <v>1.4439196492879158E-4</v>
      </c>
      <c r="E201" s="72">
        <f t="shared" si="12"/>
        <v>0.17650263434809166</v>
      </c>
      <c r="F201" s="72">
        <f t="shared" si="13"/>
        <v>0.1899947136954023</v>
      </c>
    </row>
    <row r="202" spans="1:6" x14ac:dyDescent="0.3">
      <c r="A202" s="38">
        <v>46209</v>
      </c>
      <c r="B202" s="45">
        <v>9.0690500000000004E-3</v>
      </c>
      <c r="C202" s="74">
        <f t="shared" si="14"/>
        <v>1.2207081661777869E-4</v>
      </c>
      <c r="D202" s="74">
        <f t="shared" si="15"/>
        <v>1.4252763601800282E-4</v>
      </c>
      <c r="E202" s="72">
        <f t="shared" si="12"/>
        <v>0.17469317145911764</v>
      </c>
      <c r="F202" s="72">
        <f t="shared" si="13"/>
        <v>0.18876416239450935</v>
      </c>
    </row>
    <row r="203" spans="1:6" x14ac:dyDescent="0.3">
      <c r="A203" s="38">
        <v>46210</v>
      </c>
      <c r="B203" s="45">
        <v>-4.2718800000000005E-3</v>
      </c>
      <c r="C203" s="74">
        <f t="shared" si="14"/>
        <v>1.1584150514477596E-4</v>
      </c>
      <c r="D203" s="74">
        <f t="shared" si="15"/>
        <v>1.3879927569949473E-4</v>
      </c>
      <c r="E203" s="72">
        <f t="shared" si="12"/>
        <v>0.17017748466290714</v>
      </c>
      <c r="F203" s="72">
        <f t="shared" si="13"/>
        <v>0.18627887407023289</v>
      </c>
    </row>
    <row r="204" spans="1:6" x14ac:dyDescent="0.3">
      <c r="A204" s="38">
        <v>46211</v>
      </c>
      <c r="B204" s="45">
        <v>-1.324676E-2</v>
      </c>
      <c r="C204" s="74">
        <f t="shared" si="14"/>
        <v>1.194196138659454E-4</v>
      </c>
      <c r="D204" s="74">
        <f t="shared" si="15"/>
        <v>1.3989959694343787E-4</v>
      </c>
      <c r="E204" s="72">
        <f t="shared" si="12"/>
        <v>0.17278571545844393</v>
      </c>
      <c r="F204" s="72">
        <f t="shared" si="13"/>
        <v>0.18701577269273165</v>
      </c>
    </row>
    <row r="205" spans="1:6" x14ac:dyDescent="0.3">
      <c r="A205" s="38">
        <v>46212</v>
      </c>
      <c r="B205" s="45">
        <v>1.3184950000000001E-2</v>
      </c>
      <c r="C205" s="74">
        <f t="shared" si="14"/>
        <v>1.2268501142413866E-4</v>
      </c>
      <c r="D205" s="74">
        <f t="shared" si="15"/>
        <v>1.4091789623020974E-4</v>
      </c>
      <c r="E205" s="72">
        <f t="shared" si="12"/>
        <v>0.17513210115805344</v>
      </c>
      <c r="F205" s="72">
        <f t="shared" si="13"/>
        <v>0.18769516258431498</v>
      </c>
    </row>
    <row r="206" spans="1:6" x14ac:dyDescent="0.3">
      <c r="A206" s="38">
        <v>46213</v>
      </c>
      <c r="B206" s="45">
        <v>-3.1820899999999998E-3</v>
      </c>
      <c r="C206" s="74">
        <f t="shared" si="14"/>
        <v>1.1593145254477634E-4</v>
      </c>
      <c r="D206" s="74">
        <f t="shared" si="15"/>
        <v>1.3699413024634646E-4</v>
      </c>
      <c r="E206" s="72">
        <f t="shared" si="12"/>
        <v>0.17024354065923936</v>
      </c>
      <c r="F206" s="72">
        <f t="shared" si="13"/>
        <v>0.18506359058871255</v>
      </c>
    </row>
    <row r="207" spans="1:6" x14ac:dyDescent="0.3">
      <c r="A207" s="38">
        <v>46216</v>
      </c>
      <c r="B207" s="45">
        <v>-1.9342130000000003E-2</v>
      </c>
      <c r="C207" s="74">
        <f t="shared" si="14"/>
        <v>1.3142264496830374E-4</v>
      </c>
      <c r="D207" s="74">
        <f t="shared" si="15"/>
        <v>1.4410784612706306E-4</v>
      </c>
      <c r="E207" s="72">
        <f t="shared" si="12"/>
        <v>0.18126130652203723</v>
      </c>
      <c r="F207" s="72">
        <f t="shared" si="13"/>
        <v>0.18980769618686638</v>
      </c>
    </row>
    <row r="208" spans="1:6" x14ac:dyDescent="0.3">
      <c r="A208" s="38">
        <v>46217</v>
      </c>
      <c r="B208" s="45">
        <v>1.110235E-2</v>
      </c>
      <c r="C208" s="74">
        <f t="shared" si="14"/>
        <v>1.3093301680155552E-4</v>
      </c>
      <c r="D208" s="74">
        <f t="shared" si="15"/>
        <v>1.4348247600892616E-4</v>
      </c>
      <c r="E208" s="72">
        <f t="shared" si="12"/>
        <v>0.18092333790970386</v>
      </c>
      <c r="F208" s="72">
        <f t="shared" si="13"/>
        <v>0.18939540385719908</v>
      </c>
    </row>
    <row r="209" spans="1:6" x14ac:dyDescent="0.3">
      <c r="A209" s="38">
        <v>46218</v>
      </c>
      <c r="B209" s="45">
        <v>-3.80255E-3</v>
      </c>
      <c r="C209" s="74">
        <f t="shared" si="14"/>
        <v>1.2394459898361219E-4</v>
      </c>
      <c r="D209" s="74">
        <f t="shared" si="15"/>
        <v>1.3961178332373337E-4</v>
      </c>
      <c r="E209" s="72">
        <f t="shared" si="12"/>
        <v>0.17602883214377993</v>
      </c>
      <c r="F209" s="72">
        <f t="shared" si="13"/>
        <v>0.18682330109205689</v>
      </c>
    </row>
    <row r="210" spans="1:6" x14ac:dyDescent="0.3">
      <c r="A210" s="38">
        <v>46219</v>
      </c>
      <c r="B210" s="45">
        <v>-1.0522100000000001E-2</v>
      </c>
      <c r="C210" s="74">
        <f t="shared" si="14"/>
        <v>1.2315079834919544E-4</v>
      </c>
      <c r="D210" s="74">
        <f t="shared" si="15"/>
        <v>1.3874486747632138E-4</v>
      </c>
      <c r="E210" s="72">
        <f t="shared" si="12"/>
        <v>0.17546424019525705</v>
      </c>
      <c r="F210" s="72">
        <f t="shared" si="13"/>
        <v>0.18624236056568963</v>
      </c>
    </row>
    <row r="211" spans="1:6" x14ac:dyDescent="0.3">
      <c r="A211" s="38">
        <v>46220</v>
      </c>
      <c r="B211" s="45">
        <v>9.9177999999999918E-4</v>
      </c>
      <c r="C211" s="74">
        <f t="shared" si="14"/>
        <v>1.158207681023477E-4</v>
      </c>
      <c r="D211" s="74">
        <f t="shared" si="15"/>
        <v>1.3461203027908373E-4</v>
      </c>
      <c r="E211" s="72">
        <f t="shared" si="12"/>
        <v>0.17016225205840138</v>
      </c>
      <c r="F211" s="72">
        <f t="shared" si="13"/>
        <v>0.18344756081717448</v>
      </c>
    </row>
    <row r="212" spans="1:6" x14ac:dyDescent="0.3">
      <c r="A212" s="38">
        <v>46223</v>
      </c>
      <c r="B212" s="45">
        <v>4.3699000000000011E-4</v>
      </c>
      <c r="C212" s="74">
        <f t="shared" si="14"/>
        <v>1.0888297963181284E-4</v>
      </c>
      <c r="D212" s="74">
        <f t="shared" si="15"/>
        <v>1.3057939817851422E-4</v>
      </c>
      <c r="E212" s="72">
        <f t="shared" si="12"/>
        <v>0.16498710527781621</v>
      </c>
      <c r="F212" s="72">
        <f t="shared" si="13"/>
        <v>0.18067885749203905</v>
      </c>
    </row>
    <row r="213" spans="1:6" x14ac:dyDescent="0.3">
      <c r="A213" s="38">
        <v>46224</v>
      </c>
      <c r="B213" s="45">
        <v>1.31687E-2</v>
      </c>
      <c r="C213" s="74">
        <f t="shared" si="14"/>
        <v>1.1275488043530406E-4</v>
      </c>
      <c r="D213" s="74">
        <f t="shared" si="15"/>
        <v>1.3186445602385879E-4</v>
      </c>
      <c r="E213" s="72">
        <f t="shared" si="12"/>
        <v>0.16789496749106572</v>
      </c>
      <c r="F213" s="72">
        <f t="shared" si="13"/>
        <v>0.18156572916154826</v>
      </c>
    </row>
    <row r="214" spans="1:6" x14ac:dyDescent="0.3">
      <c r="A214" s="38">
        <v>46225</v>
      </c>
      <c r="B214" s="45">
        <v>1.0540670000000002E-2</v>
      </c>
      <c r="C214" s="74">
        <f t="shared" si="14"/>
        <v>1.1265593105211981E-4</v>
      </c>
      <c r="D214" s="74">
        <f t="shared" si="15"/>
        <v>1.3124169406461002E-4</v>
      </c>
      <c r="E214" s="72">
        <f t="shared" si="12"/>
        <v>0.16782128221125578</v>
      </c>
      <c r="F214" s="72">
        <f t="shared" si="13"/>
        <v>0.18113647759673507</v>
      </c>
    </row>
    <row r="215" spans="1:6" x14ac:dyDescent="0.3">
      <c r="A215" s="38">
        <v>46226</v>
      </c>
      <c r="B215" s="45">
        <v>-1.8246060000000001E-2</v>
      </c>
      <c r="C215" s="74">
        <f t="shared" si="14"/>
        <v>1.2587169752040862E-4</v>
      </c>
      <c r="D215" s="74">
        <f t="shared" si="15"/>
        <v>1.3729200440837971E-4</v>
      </c>
      <c r="E215" s="72">
        <f t="shared" si="12"/>
        <v>0.17739200765564989</v>
      </c>
      <c r="F215" s="72">
        <f t="shared" si="13"/>
        <v>0.18526467850644096</v>
      </c>
    </row>
    <row r="216" spans="1:6" x14ac:dyDescent="0.3">
      <c r="A216" s="38">
        <v>46227</v>
      </c>
      <c r="B216" s="45">
        <v>2.6739000000000008E-3</v>
      </c>
      <c r="C216" s="74">
        <f t="shared" si="14"/>
        <v>1.1874838014178409E-4</v>
      </c>
      <c r="D216" s="74">
        <f t="shared" si="15"/>
        <v>1.333877365124283E-4</v>
      </c>
      <c r="E216" s="72">
        <f t="shared" si="12"/>
        <v>0.17229943422845598</v>
      </c>
      <c r="F216" s="72">
        <f t="shared" si="13"/>
        <v>0.1826114293468705</v>
      </c>
    </row>
    <row r="217" spans="1:6" x14ac:dyDescent="0.3">
      <c r="A217" s="38">
        <v>46230</v>
      </c>
      <c r="B217" s="45">
        <v>5.0492000000000006E-4</v>
      </c>
      <c r="C217" s="74">
        <f t="shared" si="14"/>
        <v>1.1163877398566105E-4</v>
      </c>
      <c r="D217" s="74">
        <f t="shared" si="15"/>
        <v>1.2939375274324745E-4</v>
      </c>
      <c r="E217" s="72">
        <f t="shared" si="12"/>
        <v>0.16706194508748923</v>
      </c>
      <c r="F217" s="72">
        <f t="shared" si="13"/>
        <v>0.17985671570951101</v>
      </c>
    </row>
    <row r="218" spans="1:6" x14ac:dyDescent="0.3">
      <c r="A218" s="38">
        <v>46231</v>
      </c>
      <c r="B218" s="45">
        <v>-7.3222299999999999E-3</v>
      </c>
      <c r="C218" s="74">
        <f t="shared" si="14"/>
        <v>1.0815735067689537E-4</v>
      </c>
      <c r="D218" s="74">
        <f t="shared" si="15"/>
        <v>1.2712039172613703E-4</v>
      </c>
      <c r="E218" s="72">
        <f t="shared" si="12"/>
        <v>0.16443642439929129</v>
      </c>
      <c r="F218" s="72">
        <f t="shared" si="13"/>
        <v>0.17826973363847903</v>
      </c>
    </row>
    <row r="219" spans="1:6" x14ac:dyDescent="0.3">
      <c r="A219" s="38">
        <v>46232</v>
      </c>
      <c r="B219" s="45">
        <v>-2.6688600000000003E-3</v>
      </c>
      <c r="C219" s="74">
        <f t="shared" si="14"/>
        <v>1.0209527845825765E-4</v>
      </c>
      <c r="D219" s="74">
        <f t="shared" si="15"/>
        <v>1.2352046438534093E-4</v>
      </c>
      <c r="E219" s="72">
        <f t="shared" si="12"/>
        <v>0.15976175892423197</v>
      </c>
      <c r="F219" s="72">
        <f t="shared" si="13"/>
        <v>0.17572739142300847</v>
      </c>
    </row>
    <row r="220" spans="1:6" x14ac:dyDescent="0.3">
      <c r="A220" s="38">
        <v>46233</v>
      </c>
      <c r="B220" s="45">
        <v>1.529106E-2</v>
      </c>
      <c r="C220" s="74">
        <f t="shared" si="14"/>
        <v>1.0999855270617819E-4</v>
      </c>
      <c r="D220" s="74">
        <f t="shared" si="15"/>
        <v>1.2682934593148871E-4</v>
      </c>
      <c r="E220" s="72">
        <f t="shared" si="12"/>
        <v>0.165830148575416</v>
      </c>
      <c r="F220" s="72">
        <f t="shared" si="13"/>
        <v>0.17806553985224702</v>
      </c>
    </row>
    <row r="221" spans="1:6" x14ac:dyDescent="0.3">
      <c r="A221" s="38">
        <v>46234</v>
      </c>
      <c r="B221" s="45">
        <v>-7.1097800000000004E-3</v>
      </c>
      <c r="C221" s="74">
        <f t="shared" si="14"/>
        <v>1.0643157784271149E-4</v>
      </c>
      <c r="D221" s="74">
        <f t="shared" si="15"/>
        <v>1.2454093470299604E-4</v>
      </c>
      <c r="E221" s="72">
        <f t="shared" si="12"/>
        <v>0.16311926452960077</v>
      </c>
      <c r="F221" s="72">
        <f t="shared" si="13"/>
        <v>0.17645178853088742</v>
      </c>
    </row>
    <row r="222" spans="1:6" x14ac:dyDescent="0.3">
      <c r="A222" s="38">
        <v>46237</v>
      </c>
      <c r="B222" s="45">
        <v>6.8533999999999978E-4</v>
      </c>
      <c r="C222" s="74">
        <f t="shared" si="14"/>
        <v>1.000738646270848E-4</v>
      </c>
      <c r="D222" s="74">
        <f t="shared" si="15"/>
        <v>1.2081879738937416E-4</v>
      </c>
      <c r="E222" s="72">
        <f t="shared" si="12"/>
        <v>0.1581722673440929</v>
      </c>
      <c r="F222" s="72">
        <f t="shared" si="13"/>
        <v>0.17379499229650874</v>
      </c>
    </row>
    <row r="223" spans="1:6" x14ac:dyDescent="0.3">
      <c r="A223" s="38">
        <v>46238</v>
      </c>
      <c r="B223" s="45">
        <v>1.557826E-2</v>
      </c>
      <c r="C223" s="74">
        <f t="shared" si="14"/>
        <v>1.086303638271157E-4</v>
      </c>
      <c r="D223" s="74">
        <f t="shared" si="15"/>
        <v>1.2447469900652092E-4</v>
      </c>
      <c r="E223" s="72">
        <f t="shared" si="12"/>
        <v>0.1647956035723615</v>
      </c>
      <c r="F223" s="72">
        <f t="shared" si="13"/>
        <v>0.17640486034015682</v>
      </c>
    </row>
    <row r="224" spans="1:6" x14ac:dyDescent="0.3">
      <c r="A224" s="38">
        <v>46239</v>
      </c>
      <c r="B224" s="45">
        <v>2.0912739999999999E-2</v>
      </c>
      <c r="C224" s="74">
        <f t="shared" si="14"/>
        <v>1.2835310365594474E-4</v>
      </c>
      <c r="D224" s="74">
        <f t="shared" si="15"/>
        <v>1.3386073886555329E-4</v>
      </c>
      <c r="E224" s="72">
        <f t="shared" si="12"/>
        <v>0.17913200695014328</v>
      </c>
      <c r="F224" s="72">
        <f t="shared" si="13"/>
        <v>0.18293491934671283</v>
      </c>
    </row>
    <row r="225" spans="1:6" x14ac:dyDescent="0.3">
      <c r="A225" s="38">
        <v>46240</v>
      </c>
      <c r="B225" s="45">
        <v>-1.5605E-3</v>
      </c>
      <c r="C225" s="74">
        <f t="shared" si="14"/>
        <v>1.2079802705158805E-4</v>
      </c>
      <c r="D225" s="74">
        <f t="shared" si="15"/>
        <v>1.2991797150708667E-4</v>
      </c>
      <c r="E225" s="72">
        <f t="shared" si="12"/>
        <v>0.17378005283373871</v>
      </c>
      <c r="F225" s="72">
        <f t="shared" si="13"/>
        <v>0.18022067827186666</v>
      </c>
    </row>
    <row r="226" spans="1:6" x14ac:dyDescent="0.3">
      <c r="A226" s="38">
        <v>46241</v>
      </c>
      <c r="B226" s="45">
        <v>1.596496E-2</v>
      </c>
      <c r="C226" s="74">
        <f t="shared" si="14"/>
        <v>1.2884294229658876E-4</v>
      </c>
      <c r="D226" s="74">
        <f t="shared" si="15"/>
        <v>1.3366683079592208E-4</v>
      </c>
      <c r="E226" s="72">
        <f t="shared" si="12"/>
        <v>0.179473495464225</v>
      </c>
      <c r="F226" s="72">
        <f t="shared" si="13"/>
        <v>0.18280237334066679</v>
      </c>
    </row>
    <row r="227" spans="1:6" x14ac:dyDescent="0.3">
      <c r="A227" s="38">
        <v>46244</v>
      </c>
      <c r="B227" s="45">
        <v>4.5677600000000006E-3</v>
      </c>
      <c r="C227" s="74">
        <f t="shared" si="14"/>
        <v>1.2236423164384942E-4</v>
      </c>
      <c r="D227" s="74">
        <f t="shared" si="15"/>
        <v>1.3028275881457241E-4</v>
      </c>
      <c r="E227" s="72">
        <f t="shared" si="12"/>
        <v>0.17490299571751866</v>
      </c>
      <c r="F227" s="72">
        <f t="shared" si="13"/>
        <v>0.18047351524155311</v>
      </c>
    </row>
    <row r="228" spans="1:6" x14ac:dyDescent="0.3">
      <c r="A228" s="38">
        <v>46245</v>
      </c>
      <c r="B228" s="45">
        <v>1.7692300000000001E-3</v>
      </c>
      <c r="C228" s="74">
        <f t="shared" si="14"/>
        <v>1.1521018823279245E-4</v>
      </c>
      <c r="D228" s="74">
        <f t="shared" si="15"/>
        <v>1.2646818129392223E-4</v>
      </c>
      <c r="E228" s="72">
        <f t="shared" si="12"/>
        <v>0.16971313166104179</v>
      </c>
      <c r="F228" s="72">
        <f t="shared" si="13"/>
        <v>0.17781182560077538</v>
      </c>
    </row>
    <row r="229" spans="1:6" x14ac:dyDescent="0.3">
      <c r="A229" s="38">
        <v>46246</v>
      </c>
      <c r="B229" s="45">
        <v>4.9416700000000004E-3</v>
      </c>
      <c r="C229" s="74">
        <f t="shared" si="14"/>
        <v>1.0976278308215889E-4</v>
      </c>
      <c r="D229" s="74">
        <f t="shared" si="15"/>
        <v>1.2340673892677155E-4</v>
      </c>
      <c r="E229" s="72">
        <f t="shared" si="12"/>
        <v>0.1656523340328766</v>
      </c>
      <c r="F229" s="72">
        <f t="shared" si="13"/>
        <v>0.17564647657067559</v>
      </c>
    </row>
    <row r="230" spans="1:6" x14ac:dyDescent="0.3">
      <c r="A230" s="38">
        <v>46247</v>
      </c>
      <c r="B230" s="45">
        <v>-4.4756199999999996E-3</v>
      </c>
      <c r="C230" s="74">
        <f t="shared" si="14"/>
        <v>1.0437888656029335E-4</v>
      </c>
      <c r="D230" s="74">
        <f t="shared" si="15"/>
        <v>1.203054719905004E-4</v>
      </c>
      <c r="E230" s="72">
        <f t="shared" si="12"/>
        <v>0.16153860727415395</v>
      </c>
      <c r="F230" s="72">
        <f t="shared" si="13"/>
        <v>0.17342539605728194</v>
      </c>
    </row>
    <row r="231" spans="1:6" x14ac:dyDescent="0.3">
      <c r="A231" s="38">
        <v>46248</v>
      </c>
      <c r="B231" s="45">
        <v>1.9100799999999995E-3</v>
      </c>
      <c r="C231" s="74">
        <f t="shared" si="14"/>
        <v>9.8335057703059737E-5</v>
      </c>
      <c r="D231" s="74">
        <f t="shared" si="15"/>
        <v>1.168057599989774E-4</v>
      </c>
      <c r="E231" s="72">
        <f t="shared" si="12"/>
        <v>0.1567921057507837</v>
      </c>
      <c r="F231" s="72">
        <f t="shared" si="13"/>
        <v>0.17088428833495592</v>
      </c>
    </row>
    <row r="232" spans="1:6" x14ac:dyDescent="0.3">
      <c r="A232" s="38">
        <v>46251</v>
      </c>
      <c r="B232" s="45">
        <v>5.4474900000000001E-3</v>
      </c>
      <c r="C232" s="74">
        <f t="shared" si="14"/>
        <v>9.4215463078882157E-5</v>
      </c>
      <c r="D232" s="74">
        <f t="shared" si="15"/>
        <v>1.1419184161801107E-4</v>
      </c>
      <c r="E232" s="72">
        <f t="shared" si="12"/>
        <v>0.15347268737374914</v>
      </c>
      <c r="F232" s="72">
        <f t="shared" si="13"/>
        <v>0.16896141691079289</v>
      </c>
    </row>
    <row r="233" spans="1:6" x14ac:dyDescent="0.3">
      <c r="A233" s="38">
        <v>46252</v>
      </c>
      <c r="B233" s="45">
        <v>-1.0729200000000001E-2</v>
      </c>
      <c r="C233" s="74">
        <f t="shared" si="14"/>
        <v>9.546947925254923E-5</v>
      </c>
      <c r="D233" s="74">
        <f t="shared" si="15"/>
        <v>1.1421955834867074E-4</v>
      </c>
      <c r="E233" s="72">
        <f t="shared" si="12"/>
        <v>0.15449067872573188</v>
      </c>
      <c r="F233" s="72">
        <f t="shared" si="13"/>
        <v>0.16898192088850122</v>
      </c>
    </row>
    <row r="234" spans="1:6" x14ac:dyDescent="0.3">
      <c r="A234" s="38">
        <v>46253</v>
      </c>
      <c r="B234" s="45">
        <v>1.6727310000000002E-2</v>
      </c>
      <c r="C234" s="74">
        <f t="shared" si="14"/>
        <v>1.0652948448756227E-4</v>
      </c>
      <c r="D234" s="74">
        <f t="shared" si="15"/>
        <v>1.1918705859329361E-4</v>
      </c>
      <c r="E234" s="72">
        <f t="shared" si="12"/>
        <v>0.16319427417005344</v>
      </c>
      <c r="F234" s="72">
        <f t="shared" si="13"/>
        <v>0.17261739381743488</v>
      </c>
    </row>
    <row r="235" spans="1:6" x14ac:dyDescent="0.3">
      <c r="A235" s="38">
        <v>46254</v>
      </c>
      <c r="B235" s="45">
        <v>4.9838100000000008E-3</v>
      </c>
      <c r="C235" s="74">
        <f t="shared" si="14"/>
        <v>1.0162801714527454E-4</v>
      </c>
      <c r="D235" s="74">
        <f t="shared" si="15"/>
        <v>1.1635659769897779E-4</v>
      </c>
      <c r="E235" s="72">
        <f t="shared" si="12"/>
        <v>0.15939574739094714</v>
      </c>
      <c r="F235" s="72">
        <f t="shared" si="13"/>
        <v>0.17055541452778461</v>
      </c>
    </row>
    <row r="236" spans="1:6" x14ac:dyDescent="0.3">
      <c r="A236" s="38">
        <v>46255</v>
      </c>
      <c r="B236" s="45">
        <v>1.5050229999999998E-2</v>
      </c>
      <c r="C236" s="74">
        <f t="shared" si="14"/>
        <v>1.0912090149973205E-4</v>
      </c>
      <c r="D236" s="74">
        <f t="shared" si="15"/>
        <v>1.1966118245959545E-4</v>
      </c>
      <c r="E236" s="72">
        <f t="shared" si="12"/>
        <v>0.16516726484062455</v>
      </c>
      <c r="F236" s="72">
        <f t="shared" si="13"/>
        <v>0.17296038741543932</v>
      </c>
    </row>
    <row r="237" spans="1:6" x14ac:dyDescent="0.3">
      <c r="A237" s="38">
        <v>46258</v>
      </c>
      <c r="B237" s="45">
        <v>-4.8186000000000019E-4</v>
      </c>
      <c r="C237" s="74">
        <f t="shared" si="14"/>
        <v>1.0258757875332413E-4</v>
      </c>
      <c r="D237" s="74">
        <f t="shared" si="15"/>
        <v>1.1607831265759558E-4</v>
      </c>
      <c r="E237" s="72">
        <f t="shared" si="12"/>
        <v>0.1601464788508665</v>
      </c>
      <c r="F237" s="72">
        <f t="shared" si="13"/>
        <v>0.17035133743061395</v>
      </c>
    </row>
    <row r="238" spans="1:6" x14ac:dyDescent="0.3">
      <c r="A238" s="38">
        <v>46259</v>
      </c>
      <c r="B238" s="45">
        <v>6.609099999999998E-4</v>
      </c>
      <c r="C238" s="74">
        <f t="shared" si="14"/>
        <v>9.6458532149810671E-5</v>
      </c>
      <c r="D238" s="74">
        <f t="shared" si="15"/>
        <v>1.1260906733871072E-4</v>
      </c>
      <c r="E238" s="72">
        <f t="shared" si="12"/>
        <v>0.15528886965089503</v>
      </c>
      <c r="F238" s="72">
        <f t="shared" si="13"/>
        <v>0.16778637261314663</v>
      </c>
    </row>
    <row r="239" spans="1:6" x14ac:dyDescent="0.3">
      <c r="A239" s="38">
        <v>46260</v>
      </c>
      <c r="B239" s="45">
        <v>-5.0020499999999992E-3</v>
      </c>
      <c r="C239" s="74">
        <f t="shared" si="14"/>
        <v>9.2172250472972019E-5</v>
      </c>
      <c r="D239" s="74">
        <f t="shared" si="15"/>
        <v>1.0998141044462439E-4</v>
      </c>
      <c r="E239" s="72">
        <f t="shared" si="12"/>
        <v>0.15179941573748895</v>
      </c>
      <c r="F239" s="72">
        <f t="shared" si="13"/>
        <v>0.16581722652111902</v>
      </c>
    </row>
    <row r="240" spans="1:6" x14ac:dyDescent="0.3">
      <c r="A240" s="38">
        <v>46261</v>
      </c>
      <c r="B240" s="45">
        <v>4.8021000000000001E-3</v>
      </c>
      <c r="C240" s="74">
        <f t="shared" si="14"/>
        <v>8.8025525309193698E-5</v>
      </c>
      <c r="D240" s="74">
        <f t="shared" si="15"/>
        <v>1.0737377306358566E-4</v>
      </c>
      <c r="E240" s="72">
        <f t="shared" si="12"/>
        <v>0.14834547963216951</v>
      </c>
      <c r="F240" s="72">
        <f t="shared" si="13"/>
        <v>0.16383968770080226</v>
      </c>
    </row>
    <row r="241" spans="1:6" x14ac:dyDescent="0.3">
      <c r="A241" s="38">
        <v>46262</v>
      </c>
      <c r="B241" s="45">
        <v>-1.8226060000000002E-2</v>
      </c>
      <c r="C241" s="74">
        <f t="shared" si="14"/>
        <v>1.0267534957805807E-4</v>
      </c>
      <c r="D241" s="74">
        <f t="shared" si="15"/>
        <v>1.141182377653861E-4</v>
      </c>
      <c r="E241" s="72">
        <f t="shared" si="12"/>
        <v>0.16021497244176189</v>
      </c>
      <c r="F241" s="72">
        <f t="shared" si="13"/>
        <v>0.16890695498216327</v>
      </c>
    </row>
    <row r="242" spans="1:6" x14ac:dyDescent="0.3">
      <c r="A242" s="38">
        <v>46265</v>
      </c>
      <c r="B242" s="45">
        <v>-7.1363899999999994E-3</v>
      </c>
      <c r="C242" s="74">
        <f t="shared" si="14"/>
        <v>9.9570512337300579E-5</v>
      </c>
      <c r="D242" s="74">
        <f t="shared" si="15"/>
        <v>1.122225324993875E-4</v>
      </c>
      <c r="E242" s="72">
        <f t="shared" si="12"/>
        <v>0.15777397784275182</v>
      </c>
      <c r="F242" s="72">
        <f t="shared" si="13"/>
        <v>0.16749815857151049</v>
      </c>
    </row>
    <row r="243" spans="1:6" x14ac:dyDescent="0.3">
      <c r="A243" s="38">
        <v>46266</v>
      </c>
      <c r="B243" s="45">
        <v>-1.321308E-2</v>
      </c>
      <c r="C243" s="74">
        <f t="shared" si="14"/>
        <v>1.0407141058224653E-4</v>
      </c>
      <c r="D243" s="74">
        <f t="shared" si="15"/>
        <v>1.1409342101699787E-4</v>
      </c>
      <c r="E243" s="72">
        <f t="shared" si="12"/>
        <v>0.16130050417020286</v>
      </c>
      <c r="F243" s="72">
        <f t="shared" si="13"/>
        <v>0.16888858828899445</v>
      </c>
    </row>
    <row r="244" spans="1:6" x14ac:dyDescent="0.3">
      <c r="A244" s="38">
        <v>46267</v>
      </c>
      <c r="B244" s="45">
        <v>2.8709400000000002E-3</v>
      </c>
      <c r="C244" s="74">
        <f t="shared" si="14"/>
        <v>9.8321663736327736E-5</v>
      </c>
      <c r="D244" s="74">
        <f t="shared" si="15"/>
        <v>1.1091788728099593E-4</v>
      </c>
      <c r="E244" s="72">
        <f t="shared" si="12"/>
        <v>0.15678142726127331</v>
      </c>
      <c r="F244" s="72">
        <f t="shared" si="13"/>
        <v>0.16652168573566922</v>
      </c>
    </row>
    <row r="245" spans="1:6" x14ac:dyDescent="0.3">
      <c r="A245" s="38">
        <v>46268</v>
      </c>
      <c r="B245" s="45">
        <v>1.903009E-2</v>
      </c>
      <c r="C245" s="74">
        <f t="shared" si="14"/>
        <v>1.1415102343663407E-4</v>
      </c>
      <c r="D245" s="74">
        <f t="shared" si="15"/>
        <v>1.1845468042480904E-4</v>
      </c>
      <c r="E245" s="72">
        <f t="shared" si="12"/>
        <v>0.16893121635493696</v>
      </c>
      <c r="F245" s="72">
        <f t="shared" si="13"/>
        <v>0.17208622869422835</v>
      </c>
    </row>
    <row r="246" spans="1:6" x14ac:dyDescent="0.3">
      <c r="A246" s="38">
        <v>46269</v>
      </c>
      <c r="B246" s="45">
        <v>-9.0344300000000013E-3</v>
      </c>
      <c r="C246" s="74">
        <f t="shared" si="14"/>
        <v>1.1219921755593002E-4</v>
      </c>
      <c r="D246" s="74">
        <f t="shared" si="15"/>
        <v>1.1734966777481177E-4</v>
      </c>
      <c r="E246" s="72">
        <f t="shared" si="12"/>
        <v>0.16748075826488995</v>
      </c>
      <c r="F246" s="72">
        <f t="shared" si="13"/>
        <v>0.17128168887450562</v>
      </c>
    </row>
    <row r="247" spans="1:6" x14ac:dyDescent="0.3">
      <c r="A247" s="38">
        <v>46272</v>
      </c>
      <c r="B247" s="45">
        <v>2.2349999999999974E-5</v>
      </c>
      <c r="C247" s="74">
        <f t="shared" si="14"/>
        <v>1.0546729447392421E-4</v>
      </c>
      <c r="D247" s="74">
        <f t="shared" si="15"/>
        <v>1.1382919272724242E-4</v>
      </c>
      <c r="E247" s="72">
        <f t="shared" si="12"/>
        <v>0.16237864274122091</v>
      </c>
      <c r="F247" s="72">
        <f t="shared" si="13"/>
        <v>0.16869291088190577</v>
      </c>
    </row>
    <row r="248" spans="1:6" x14ac:dyDescent="0.3">
      <c r="A248" s="38">
        <v>46273</v>
      </c>
      <c r="B248" s="45">
        <v>-5.3072399999999995E-3</v>
      </c>
      <c r="C248" s="74">
        <f t="shared" si="14"/>
        <v>1.0082926459054475E-4</v>
      </c>
      <c r="D248" s="74">
        <f t="shared" si="15"/>
        <v>1.1125932083795316E-4</v>
      </c>
      <c r="E248" s="72">
        <f t="shared" si="12"/>
        <v>0.15876812069063545</v>
      </c>
      <c r="F248" s="72">
        <f t="shared" si="13"/>
        <v>0.16677778691866699</v>
      </c>
    </row>
    <row r="249" spans="1:6" x14ac:dyDescent="0.3">
      <c r="A249" s="38">
        <v>46274</v>
      </c>
      <c r="B249" s="45">
        <v>3.60436E-3</v>
      </c>
      <c r="C249" s="74">
        <f t="shared" si="14"/>
        <v>9.5558993375688059E-5</v>
      </c>
      <c r="D249" s="74">
        <f t="shared" si="15"/>
        <v>1.0831128354310256E-4</v>
      </c>
      <c r="E249" s="72">
        <f t="shared" si="12"/>
        <v>0.15456308855584511</v>
      </c>
      <c r="F249" s="72">
        <f t="shared" si="13"/>
        <v>0.16455339828084875</v>
      </c>
    </row>
    <row r="250" spans="1:6" x14ac:dyDescent="0.3">
      <c r="A250" s="38">
        <v>46275</v>
      </c>
      <c r="B250" s="45">
        <v>-1.1750160000000001E-2</v>
      </c>
      <c r="C250" s="74">
        <f t="shared" si="14"/>
        <v>9.8109429374682773E-5</v>
      </c>
      <c r="D250" s="74">
        <f t="shared" si="15"/>
        <v>1.0920393283757748E-4</v>
      </c>
      <c r="E250" s="72">
        <f t="shared" si="12"/>
        <v>0.15661212387191067</v>
      </c>
      <c r="F250" s="72">
        <f t="shared" si="13"/>
        <v>0.1652300917187737</v>
      </c>
    </row>
    <row r="251" spans="1:6" x14ac:dyDescent="0.3">
      <c r="A251" s="38">
        <v>46276</v>
      </c>
      <c r="B251" s="45">
        <v>7.6463400000000015E-3</v>
      </c>
      <c r="C251" s="74">
        <f t="shared" si="14"/>
        <v>9.5730854535937799E-5</v>
      </c>
      <c r="D251" s="74">
        <f t="shared" si="15"/>
        <v>1.0768181031431816E-4</v>
      </c>
      <c r="E251" s="72">
        <f t="shared" si="12"/>
        <v>0.15470201561060687</v>
      </c>
      <c r="F251" s="72">
        <f t="shared" si="13"/>
        <v>0.16407453360768556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CB12-83BE-4963-921C-3D6D3F2D1FC1}">
  <dimension ref="A1:M8"/>
  <sheetViews>
    <sheetView workbookViewId="0"/>
  </sheetViews>
  <sheetFormatPr defaultRowHeight="14.4" x14ac:dyDescent="0.3"/>
  <cols>
    <col min="3" max="3" width="13.5546875" bestFit="1" customWidth="1"/>
    <col min="6" max="6" width="13.33203125" bestFit="1" customWidth="1"/>
    <col min="7" max="8" width="7.88671875" bestFit="1" customWidth="1"/>
    <col min="9" max="9" width="7.77734375" bestFit="1" customWidth="1"/>
    <col min="10" max="10" width="7.109375" bestFit="1" customWidth="1"/>
    <col min="11" max="11" width="5.88671875" bestFit="1" customWidth="1"/>
    <col min="12" max="12" width="8" bestFit="1" customWidth="1"/>
    <col min="13" max="13" width="10.88671875" bestFit="1" customWidth="1"/>
  </cols>
  <sheetData>
    <row r="1" spans="1:13" x14ac:dyDescent="0.3">
      <c r="A1" s="9" t="s">
        <v>46</v>
      </c>
      <c r="B1" s="68" t="s">
        <v>38</v>
      </c>
      <c r="C1" s="69" t="s">
        <v>45</v>
      </c>
    </row>
    <row r="2" spans="1:13" x14ac:dyDescent="0.3">
      <c r="A2" s="9" t="s">
        <v>0</v>
      </c>
      <c r="B2" s="70">
        <v>0.15</v>
      </c>
      <c r="C2" s="71">
        <v>825000</v>
      </c>
      <c r="F2" s="37" t="s">
        <v>65</v>
      </c>
      <c r="G2" s="64" t="s">
        <v>0</v>
      </c>
      <c r="H2" s="64" t="s">
        <v>35</v>
      </c>
      <c r="I2" s="64" t="s">
        <v>36</v>
      </c>
      <c r="J2" s="64" t="s">
        <v>3</v>
      </c>
      <c r="K2" s="64" t="s">
        <v>37</v>
      </c>
      <c r="L2" s="64" t="s">
        <v>4</v>
      </c>
      <c r="M2" s="65" t="s">
        <v>71</v>
      </c>
    </row>
    <row r="3" spans="1:13" x14ac:dyDescent="0.3">
      <c r="A3" s="9" t="s">
        <v>35</v>
      </c>
      <c r="B3" s="70">
        <v>0.51</v>
      </c>
      <c r="C3" s="71">
        <v>2805000</v>
      </c>
      <c r="F3" s="66" t="s">
        <v>68</v>
      </c>
      <c r="G3" s="62">
        <v>0</v>
      </c>
      <c r="H3" s="62">
        <v>-0.15</v>
      </c>
      <c r="I3" s="62">
        <v>-0.2</v>
      </c>
      <c r="J3" s="62">
        <v>0</v>
      </c>
      <c r="K3" s="62">
        <v>0</v>
      </c>
      <c r="L3" s="62">
        <v>0</v>
      </c>
      <c r="M3" s="40">
        <f>$C$2*G3+$C$3*H3+I3*$C$4+J3*$C$5+K3*$C$6+L3*$C$7</f>
        <v>-508750</v>
      </c>
    </row>
    <row r="4" spans="1:13" x14ac:dyDescent="0.3">
      <c r="A4" s="9" t="s">
        <v>36</v>
      </c>
      <c r="B4" s="70">
        <v>0.08</v>
      </c>
      <c r="C4" s="71">
        <v>440000</v>
      </c>
      <c r="F4" s="66" t="s">
        <v>66</v>
      </c>
      <c r="G4" s="62">
        <v>-0.08</v>
      </c>
      <c r="H4" s="62">
        <v>-0.1</v>
      </c>
      <c r="I4" s="62">
        <v>-0.15</v>
      </c>
      <c r="J4" s="62">
        <v>0.08</v>
      </c>
      <c r="K4" s="62">
        <v>-0.05</v>
      </c>
      <c r="L4" s="62">
        <v>-7.0000000000000007E-2</v>
      </c>
      <c r="M4" s="40">
        <f t="shared" ref="M4:M7" si="0">$C$2*G4+$C$3*H4+I4*$C$4+J4*$C$5+K4*$C$6+L4*$C$7</f>
        <v>-451000</v>
      </c>
    </row>
    <row r="5" spans="1:13" x14ac:dyDescent="0.3">
      <c r="A5" s="9" t="s">
        <v>3</v>
      </c>
      <c r="B5" s="70">
        <v>0.06</v>
      </c>
      <c r="C5" s="71">
        <v>330000</v>
      </c>
      <c r="F5" s="66" t="s">
        <v>67</v>
      </c>
      <c r="G5" s="62">
        <v>-0.03</v>
      </c>
      <c r="H5" s="62">
        <v>-0.05</v>
      </c>
      <c r="I5" s="62">
        <v>-7.0000000000000007E-2</v>
      </c>
      <c r="J5" s="62">
        <v>0.03</v>
      </c>
      <c r="K5" s="62">
        <v>-0.2</v>
      </c>
      <c r="L5" s="62">
        <v>-0.25</v>
      </c>
      <c r="M5" s="40">
        <f t="shared" si="0"/>
        <v>-430650</v>
      </c>
    </row>
    <row r="6" spans="1:13" x14ac:dyDescent="0.3">
      <c r="A6" s="9" t="s">
        <v>37</v>
      </c>
      <c r="B6" s="70">
        <v>0.11</v>
      </c>
      <c r="C6" s="71">
        <v>605000</v>
      </c>
      <c r="F6" s="66" t="s">
        <v>69</v>
      </c>
      <c r="G6" s="62">
        <v>-0.1</v>
      </c>
      <c r="H6" s="62">
        <v>-0.15</v>
      </c>
      <c r="I6" s="62">
        <v>-0.25</v>
      </c>
      <c r="J6" s="62">
        <v>0.1</v>
      </c>
      <c r="K6" s="62">
        <v>-0.2</v>
      </c>
      <c r="L6" s="62">
        <v>-0.25</v>
      </c>
      <c r="M6" s="40">
        <f t="shared" si="0"/>
        <v>-825000</v>
      </c>
    </row>
    <row r="7" spans="1:13" x14ac:dyDescent="0.3">
      <c r="A7" s="9" t="s">
        <v>4</v>
      </c>
      <c r="B7" s="70">
        <v>0.09</v>
      </c>
      <c r="C7" s="71">
        <v>495000</v>
      </c>
      <c r="F7" s="67" t="s">
        <v>70</v>
      </c>
      <c r="G7" s="63">
        <v>-0.05</v>
      </c>
      <c r="H7" s="63">
        <v>-7.0000000000000007E-2</v>
      </c>
      <c r="I7" s="63">
        <v>-7.0000000000000007E-2</v>
      </c>
      <c r="J7" s="63">
        <v>0.1</v>
      </c>
      <c r="K7" s="63">
        <v>-0.06</v>
      </c>
      <c r="L7" s="63">
        <v>-0.09</v>
      </c>
      <c r="M7" s="41">
        <f t="shared" si="0"/>
        <v>-316250.00000000006</v>
      </c>
    </row>
    <row r="8" spans="1:13" x14ac:dyDescent="0.3">
      <c r="A8" s="9" t="s">
        <v>8</v>
      </c>
      <c r="B8" s="70">
        <f>SUM(B2:B7)</f>
        <v>1</v>
      </c>
      <c r="C8" s="71">
        <v>5500000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ECBA8-5D26-454A-82EC-66C55DA9C8FD}">
  <dimension ref="A1:O251"/>
  <sheetViews>
    <sheetView workbookViewId="0"/>
  </sheetViews>
  <sheetFormatPr defaultRowHeight="14.4" x14ac:dyDescent="0.3"/>
  <cols>
    <col min="1" max="1" width="10.5546875" style="2" bestFit="1" customWidth="1"/>
    <col min="2" max="2" width="9.33203125" style="2" bestFit="1" customWidth="1"/>
    <col min="3" max="4" width="10.33203125" style="2" bestFit="1" customWidth="1"/>
    <col min="5" max="7" width="9.33203125" style="2" bestFit="1" customWidth="1"/>
  </cols>
  <sheetData>
    <row r="1" spans="1:15" x14ac:dyDescent="0.3">
      <c r="A1" s="28" t="s">
        <v>34</v>
      </c>
      <c r="B1" s="28" t="s">
        <v>0</v>
      </c>
      <c r="C1" s="28" t="s">
        <v>35</v>
      </c>
      <c r="D1" s="28" t="s">
        <v>36</v>
      </c>
      <c r="E1" s="28" t="s">
        <v>3</v>
      </c>
      <c r="F1" s="28" t="s">
        <v>37</v>
      </c>
      <c r="G1" s="28" t="s">
        <v>4</v>
      </c>
      <c r="I1" s="9" t="s">
        <v>61</v>
      </c>
      <c r="J1" s="9" t="s">
        <v>0</v>
      </c>
      <c r="K1" s="9" t="s">
        <v>35</v>
      </c>
      <c r="L1" s="9" t="s">
        <v>36</v>
      </c>
      <c r="M1" s="9" t="s">
        <v>3</v>
      </c>
      <c r="N1" s="9" t="s">
        <v>37</v>
      </c>
      <c r="O1" s="9" t="s">
        <v>4</v>
      </c>
    </row>
    <row r="2" spans="1:15" x14ac:dyDescent="0.3">
      <c r="A2" s="38">
        <v>45925</v>
      </c>
      <c r="B2" s="43">
        <v>-5.9080000000000001E-3</v>
      </c>
      <c r="C2" s="43">
        <v>1.2859999999999998E-3</v>
      </c>
      <c r="D2" s="43">
        <v>2.1016E-2</v>
      </c>
      <c r="E2" s="43">
        <v>7.7090000000000006E-3</v>
      </c>
      <c r="F2" s="43">
        <v>-5.0090000000000004E-3</v>
      </c>
      <c r="G2" s="43">
        <v>-4.3369999999999997E-3</v>
      </c>
      <c r="I2" s="37" t="s">
        <v>0</v>
      </c>
      <c r="J2" s="59">
        <f>CORREL($B$2:$B$251, B2:B251)</f>
        <v>1</v>
      </c>
      <c r="K2" s="59">
        <f>CORREL($B$2:$B$251, C2:C251)</f>
        <v>0.19018724170601284</v>
      </c>
      <c r="L2" s="59">
        <f t="shared" ref="L2:O2" si="0">CORREL($B$2:$B$251, D2:D251)</f>
        <v>0.18075017212082289</v>
      </c>
      <c r="M2" s="59">
        <f t="shared" si="0"/>
        <v>-0.60338346322225311</v>
      </c>
      <c r="N2" s="59">
        <f t="shared" si="0"/>
        <v>4.6617086323751535E-2</v>
      </c>
      <c r="O2" s="59">
        <f t="shared" si="0"/>
        <v>3.9918019482220853E-2</v>
      </c>
    </row>
    <row r="3" spans="1:15" x14ac:dyDescent="0.3">
      <c r="A3" s="38">
        <v>45926</v>
      </c>
      <c r="B3" s="43">
        <v>-6.9740000000000002E-3</v>
      </c>
      <c r="C3" s="43">
        <v>1.0276E-2</v>
      </c>
      <c r="D3" s="43">
        <v>3.4096000000000001E-2</v>
      </c>
      <c r="E3" s="43">
        <v>7.4619999999999999E-3</v>
      </c>
      <c r="F3" s="43">
        <v>5.9019999999999993E-3</v>
      </c>
      <c r="G3" s="43">
        <v>4.3669999999999994E-3</v>
      </c>
      <c r="I3" s="37" t="s">
        <v>35</v>
      </c>
      <c r="J3" s="59">
        <f>CORREL($C$2:$C$251,B2:B251)</f>
        <v>0.19018724170601284</v>
      </c>
      <c r="K3" s="59">
        <f t="shared" ref="K3:O3" si="1">CORREL($C$2:$C$251,C2:C251)</f>
        <v>1</v>
      </c>
      <c r="L3" s="59">
        <f t="shared" si="1"/>
        <v>0.8235728869971306</v>
      </c>
      <c r="M3" s="59">
        <f t="shared" si="1"/>
        <v>-5.5391230040551444E-2</v>
      </c>
      <c r="N3" s="59">
        <f t="shared" si="1"/>
        <v>0.29261725663919474</v>
      </c>
      <c r="O3" s="59">
        <f t="shared" si="1"/>
        <v>0.27554872233012034</v>
      </c>
    </row>
    <row r="4" spans="1:15" x14ac:dyDescent="0.3">
      <c r="A4" s="38">
        <v>45929</v>
      </c>
      <c r="B4" s="43">
        <v>3.8990000000000001E-3</v>
      </c>
      <c r="C4" s="43">
        <v>1.2078E-2</v>
      </c>
      <c r="D4" s="43">
        <v>8.4589999999999995E-3</v>
      </c>
      <c r="E4" s="43">
        <v>-3.0430000000000001E-3</v>
      </c>
      <c r="F4" s="43">
        <v>2.6359999999999999E-3</v>
      </c>
      <c r="G4" s="43">
        <v>4.3869999999999994E-3</v>
      </c>
      <c r="I4" s="37" t="s">
        <v>36</v>
      </c>
      <c r="J4" s="59">
        <f>CORREL($D$2:$D$251,B2:B251)</f>
        <v>0.18075017212082289</v>
      </c>
      <c r="K4" s="59">
        <f t="shared" ref="K4:O4" si="2">CORREL($D$2:$D$251,C2:C251)</f>
        <v>0.8235728869971306</v>
      </c>
      <c r="L4" s="59">
        <f t="shared" si="2"/>
        <v>0.99999999999999989</v>
      </c>
      <c r="M4" s="59">
        <f t="shared" si="2"/>
        <v>-0.11370767639475717</v>
      </c>
      <c r="N4" s="59">
        <f t="shared" si="2"/>
        <v>0.28704111991357228</v>
      </c>
      <c r="O4" s="59">
        <f t="shared" si="2"/>
        <v>0.29244992630654493</v>
      </c>
    </row>
    <row r="5" spans="1:15" x14ac:dyDescent="0.3">
      <c r="A5" s="38">
        <v>45930</v>
      </c>
      <c r="B5" s="43">
        <v>1.983E-3</v>
      </c>
      <c r="C5" s="43">
        <v>5.2080000000000008E-3</v>
      </c>
      <c r="D5" s="43">
        <v>-7.7019999999999996E-3</v>
      </c>
      <c r="E5" s="43">
        <v>-5.4210000000000005E-3</v>
      </c>
      <c r="F5" s="43">
        <v>4.091E-3</v>
      </c>
      <c r="G5" s="43">
        <v>2.7889999999999998E-3</v>
      </c>
      <c r="I5" s="37" t="s">
        <v>3</v>
      </c>
      <c r="J5" s="59">
        <f>CORREL($E$2:$E$251,B2:B251)</f>
        <v>-0.60338346322225311</v>
      </c>
      <c r="K5" s="59">
        <f t="shared" ref="K5:O5" si="3">CORREL($E$2:$E$251,C2:C251)</f>
        <v>-5.5391230040551444E-2</v>
      </c>
      <c r="L5" s="59">
        <f t="shared" si="3"/>
        <v>-0.11370767639475717</v>
      </c>
      <c r="M5" s="59">
        <f t="shared" si="3"/>
        <v>0.99999999999999989</v>
      </c>
      <c r="N5" s="59">
        <f t="shared" si="3"/>
        <v>-5.4363176966029735E-2</v>
      </c>
      <c r="O5" s="59">
        <f t="shared" si="3"/>
        <v>-8.2450022429117864E-2</v>
      </c>
    </row>
    <row r="6" spans="1:15" x14ac:dyDescent="0.3">
      <c r="A6" s="38">
        <v>45931</v>
      </c>
      <c r="B6" s="43">
        <v>3.7600000000000003E-4</v>
      </c>
      <c r="C6" s="43">
        <v>6.9520000000000007E-3</v>
      </c>
      <c r="D6" s="43">
        <v>2.2419999999999999E-2</v>
      </c>
      <c r="E6" s="43">
        <v>-4.0239999999999998E-3</v>
      </c>
      <c r="F6" s="43">
        <v>3.4000000000000002E-3</v>
      </c>
      <c r="G6" s="43">
        <v>4.8970000000000003E-3</v>
      </c>
      <c r="I6" s="37" t="s">
        <v>37</v>
      </c>
      <c r="J6" s="59">
        <f>CORREL($F$2:$F$251,B2:B251)</f>
        <v>4.6617086323751535E-2</v>
      </c>
      <c r="K6" s="59">
        <f t="shared" ref="K6:O6" si="4">CORREL($F$2:$F$251,C2:C251)</f>
        <v>0.29261725663919474</v>
      </c>
      <c r="L6" s="59">
        <f t="shared" si="4"/>
        <v>0.28704111991357228</v>
      </c>
      <c r="M6" s="59">
        <f t="shared" si="4"/>
        <v>-5.4363176966029735E-2</v>
      </c>
      <c r="N6" s="59">
        <f t="shared" si="4"/>
        <v>1.0000000000000002</v>
      </c>
      <c r="O6" s="59">
        <f t="shared" si="4"/>
        <v>0.92764341064281886</v>
      </c>
    </row>
    <row r="7" spans="1:15" x14ac:dyDescent="0.3">
      <c r="A7" s="38">
        <v>45932</v>
      </c>
      <c r="B7" s="43">
        <v>-1.5300000000000001E-4</v>
      </c>
      <c r="C7" s="43">
        <v>-7.1879999999999999E-3</v>
      </c>
      <c r="D7" s="43">
        <v>-2.7279000000000001E-2</v>
      </c>
      <c r="E7" s="43">
        <v>-6.1760000000000001E-3</v>
      </c>
      <c r="F7" s="43">
        <v>6.1800000000000006E-4</v>
      </c>
      <c r="G7" s="43">
        <v>3.7059999999999997E-3</v>
      </c>
      <c r="I7" s="37" t="s">
        <v>4</v>
      </c>
      <c r="J7" s="59">
        <f>CORREL($G$2:$G$251,B2:B251)</f>
        <v>3.9918019482220853E-2</v>
      </c>
      <c r="K7" s="59">
        <f t="shared" ref="K7:O7" si="5">CORREL($G$2:$G$251,C2:C251)</f>
        <v>0.27554872233012034</v>
      </c>
      <c r="L7" s="59">
        <f t="shared" si="5"/>
        <v>0.29244992630654493</v>
      </c>
      <c r="M7" s="59">
        <f t="shared" si="5"/>
        <v>-8.2450022429117864E-2</v>
      </c>
      <c r="N7" s="59">
        <f t="shared" si="5"/>
        <v>0.92764341064281886</v>
      </c>
      <c r="O7" s="59">
        <f t="shared" si="5"/>
        <v>1.0000000000000002</v>
      </c>
    </row>
    <row r="8" spans="1:15" x14ac:dyDescent="0.3">
      <c r="A8" s="38">
        <v>45933</v>
      </c>
      <c r="B8" s="43">
        <v>-7.6200000000000009E-4</v>
      </c>
      <c r="C8" s="43">
        <v>1.0704E-2</v>
      </c>
      <c r="D8" s="43">
        <v>3.4716999999999998E-2</v>
      </c>
      <c r="E8" s="43">
        <v>4.5600000000000003E-4</v>
      </c>
      <c r="F8" s="43">
        <v>6.6000000000000005E-5</v>
      </c>
      <c r="G8" s="43">
        <v>-4.3080000000000002E-3</v>
      </c>
    </row>
    <row r="9" spans="1:15" x14ac:dyDescent="0.3">
      <c r="A9" s="38">
        <v>45936</v>
      </c>
      <c r="B9" s="43">
        <v>-1.078E-3</v>
      </c>
      <c r="C9" s="43">
        <v>1.7444999999999999E-2</v>
      </c>
      <c r="D9" s="43">
        <v>1.0189999999999999E-2</v>
      </c>
      <c r="E9" s="43">
        <v>1.6691000000000001E-2</v>
      </c>
      <c r="F9" s="43">
        <v>3.6470000000000001E-3</v>
      </c>
      <c r="G9" s="43">
        <v>7.7880000000000007E-3</v>
      </c>
    </row>
    <row r="10" spans="1:15" x14ac:dyDescent="0.3">
      <c r="A10" s="38">
        <v>45937</v>
      </c>
      <c r="B10" s="43">
        <v>-1.8700000000000002E-4</v>
      </c>
      <c r="C10" s="43">
        <v>7.1170000000000001E-3</v>
      </c>
      <c r="D10" s="43">
        <v>-1.8779999999999998E-2</v>
      </c>
      <c r="E10" s="43">
        <v>4.8459999999999996E-3</v>
      </c>
      <c r="F10" s="43">
        <v>-3.8110000000000002E-3</v>
      </c>
      <c r="G10" s="43">
        <v>-5.5379999999999995E-3</v>
      </c>
    </row>
    <row r="11" spans="1:15" x14ac:dyDescent="0.3">
      <c r="A11" s="38">
        <v>45938</v>
      </c>
      <c r="B11" s="43">
        <v>-4.7549999999999997E-3</v>
      </c>
      <c r="C11" s="43">
        <v>1.6773E-2</v>
      </c>
      <c r="D11" s="43">
        <v>3.1306E-2</v>
      </c>
      <c r="E11" s="43">
        <v>1.1441E-2</v>
      </c>
      <c r="F11" s="43">
        <v>5.8279999999999998E-3</v>
      </c>
      <c r="G11" s="43">
        <v>1.1932E-2</v>
      </c>
    </row>
    <row r="12" spans="1:15" x14ac:dyDescent="0.3">
      <c r="A12" s="38">
        <v>45939</v>
      </c>
      <c r="B12" s="43">
        <v>-1.9420000000000001E-3</v>
      </c>
      <c r="C12" s="43">
        <v>-2.3990000000000001E-2</v>
      </c>
      <c r="D12" s="43">
        <v>-3.7118000000000005E-2</v>
      </c>
      <c r="E12" s="43">
        <v>4.1370000000000001E-3</v>
      </c>
      <c r="F12" s="43">
        <v>-2.7560000000000002E-3</v>
      </c>
      <c r="G12" s="43">
        <v>-1.529E-3</v>
      </c>
    </row>
    <row r="13" spans="1:15" x14ac:dyDescent="0.3">
      <c r="A13" s="38">
        <v>45940</v>
      </c>
      <c r="B13" s="43">
        <v>-5.633E-3</v>
      </c>
      <c r="C13" s="43">
        <v>7.5009999999999999E-3</v>
      </c>
      <c r="D13" s="43">
        <v>1.8779999999999999E-3</v>
      </c>
      <c r="E13" s="43">
        <v>1.867E-3</v>
      </c>
      <c r="F13" s="43">
        <v>-2.7111999999999997E-2</v>
      </c>
      <c r="G13" s="43">
        <v>-3.492E-2</v>
      </c>
    </row>
    <row r="14" spans="1:15" x14ac:dyDescent="0.3">
      <c r="A14" s="38">
        <v>45943</v>
      </c>
      <c r="B14" s="43">
        <v>3.1090000000000002E-3</v>
      </c>
      <c r="C14" s="43">
        <v>3.3376000000000003E-2</v>
      </c>
      <c r="D14" s="43">
        <v>6.800500000000001E-2</v>
      </c>
      <c r="E14" s="43">
        <v>-5.9430000000000004E-3</v>
      </c>
      <c r="F14" s="43">
        <v>1.5599E-2</v>
      </c>
      <c r="G14" s="43">
        <v>2.1819999999999999E-2</v>
      </c>
    </row>
    <row r="15" spans="1:15" x14ac:dyDescent="0.3">
      <c r="A15" s="38">
        <v>45944</v>
      </c>
      <c r="B15" s="43">
        <v>-3.065E-3</v>
      </c>
      <c r="C15" s="43">
        <v>7.326E-3</v>
      </c>
      <c r="D15" s="43">
        <v>3.6700000000000001E-3</v>
      </c>
      <c r="E15" s="43">
        <v>2.4859999999999999E-3</v>
      </c>
      <c r="F15" s="43">
        <v>-1.5640000000000001E-3</v>
      </c>
      <c r="G15" s="43">
        <v>-6.9059999999999998E-3</v>
      </c>
    </row>
    <row r="16" spans="1:15" x14ac:dyDescent="0.3">
      <c r="A16" s="38">
        <v>45945</v>
      </c>
      <c r="B16" s="43">
        <v>3.0630000000000002E-3</v>
      </c>
      <c r="C16" s="43">
        <v>9.2300000000000004E-3</v>
      </c>
      <c r="D16" s="43">
        <v>1.5084999999999999E-2</v>
      </c>
      <c r="E16" s="43">
        <v>-4.6119999999999998E-3</v>
      </c>
      <c r="F16" s="43">
        <v>4.0260000000000001E-3</v>
      </c>
      <c r="G16" s="43">
        <v>6.7549999999999997E-3</v>
      </c>
    </row>
    <row r="17" spans="1:7" x14ac:dyDescent="0.3">
      <c r="A17" s="38">
        <v>45946</v>
      </c>
      <c r="B17" s="43">
        <v>3.797E-3</v>
      </c>
      <c r="C17" s="43">
        <v>2.4731E-2</v>
      </c>
      <c r="D17" s="43">
        <v>3.8181E-2</v>
      </c>
      <c r="E17" s="43">
        <v>-4.9890000000000004E-3</v>
      </c>
      <c r="F17" s="43">
        <v>-6.2939999999999992E-3</v>
      </c>
      <c r="G17" s="43">
        <v>-3.5610000000000004E-3</v>
      </c>
    </row>
    <row r="18" spans="1:7" x14ac:dyDescent="0.3">
      <c r="A18" s="38">
        <v>45947</v>
      </c>
      <c r="B18" s="43">
        <v>4.5750000000000001E-3</v>
      </c>
      <c r="C18" s="43">
        <v>-2.1097000000000001E-2</v>
      </c>
      <c r="D18" s="43">
        <v>-5.9577999999999999E-2</v>
      </c>
      <c r="E18" s="43">
        <v>-5.6569999999999997E-3</v>
      </c>
      <c r="F18" s="43">
        <v>5.2710000000000005E-3</v>
      </c>
      <c r="G18" s="43">
        <v>6.5180000000000004E-3</v>
      </c>
    </row>
    <row r="19" spans="1:7" x14ac:dyDescent="0.3">
      <c r="A19" s="38">
        <v>45950</v>
      </c>
      <c r="B19" s="43">
        <v>-3.6020000000000002E-3</v>
      </c>
      <c r="C19" s="43">
        <v>3.4965000000000003E-2</v>
      </c>
      <c r="D19" s="43">
        <v>2.5167999999999999E-2</v>
      </c>
      <c r="E19" s="43">
        <v>5.1959999999999992E-3</v>
      </c>
      <c r="F19" s="43">
        <v>1.0671999999999999E-2</v>
      </c>
      <c r="G19" s="43">
        <v>1.3018E-2</v>
      </c>
    </row>
    <row r="20" spans="1:7" x14ac:dyDescent="0.3">
      <c r="A20" s="38">
        <v>45951</v>
      </c>
      <c r="B20" s="43">
        <v>-1.1180000000000001E-3</v>
      </c>
      <c r="C20" s="43">
        <v>-5.7352E-2</v>
      </c>
      <c r="D20" s="43">
        <v>-7.1773999999999991E-2</v>
      </c>
      <c r="E20" s="43">
        <v>-8.3500000000000002E-4</v>
      </c>
      <c r="F20" s="43">
        <v>3.3000000000000003E-5</v>
      </c>
      <c r="G20" s="43">
        <v>-5.5199999999999997E-4</v>
      </c>
    </row>
    <row r="21" spans="1:7" x14ac:dyDescent="0.3">
      <c r="A21" s="38">
        <v>45952</v>
      </c>
      <c r="B21" s="43">
        <v>-3.7819999999999998E-3</v>
      </c>
      <c r="C21" s="43">
        <v>-1.0592999999999998E-2</v>
      </c>
      <c r="D21" s="43">
        <v>2.3199999999999997E-4</v>
      </c>
      <c r="E21" s="43">
        <v>7.4219999999999998E-3</v>
      </c>
      <c r="F21" s="43">
        <v>-5.3380000000000007E-3</v>
      </c>
      <c r="G21" s="43">
        <v>-9.8750000000000001E-3</v>
      </c>
    </row>
    <row r="22" spans="1:7" x14ac:dyDescent="0.3">
      <c r="A22" s="38">
        <v>45953</v>
      </c>
      <c r="B22" s="43">
        <v>6.9700000000000003E-4</v>
      </c>
      <c r="C22" s="43">
        <v>2.0052E-2</v>
      </c>
      <c r="D22" s="43">
        <v>2.1511999999999996E-2</v>
      </c>
      <c r="E22" s="43">
        <v>4.0200000000000001E-4</v>
      </c>
      <c r="F22" s="43">
        <v>5.8269999999999997E-3</v>
      </c>
      <c r="G22" s="43">
        <v>8.7790000000000003E-3</v>
      </c>
    </row>
    <row r="23" spans="1:7" x14ac:dyDescent="0.3">
      <c r="A23" s="38">
        <v>45954</v>
      </c>
      <c r="B23" s="43">
        <v>8.25E-4</v>
      </c>
      <c r="C23" s="43">
        <v>-1.7210000000000001E-3</v>
      </c>
      <c r="D23" s="43">
        <v>-2.166E-3</v>
      </c>
      <c r="E23" s="43">
        <v>4.2649999999999997E-3</v>
      </c>
      <c r="F23" s="43">
        <v>7.9019999999999993E-3</v>
      </c>
      <c r="G23" s="43">
        <v>1.039E-2</v>
      </c>
    </row>
    <row r="24" spans="1:7" x14ac:dyDescent="0.3">
      <c r="A24" s="38">
        <v>45957</v>
      </c>
      <c r="B24" s="43">
        <v>1.1749999999999998E-3</v>
      </c>
      <c r="C24" s="43">
        <v>-2.8288000000000001E-2</v>
      </c>
      <c r="D24" s="43">
        <v>-3.7517999999999996E-2</v>
      </c>
      <c r="E24" s="43">
        <v>3.0080000000000003E-3</v>
      </c>
      <c r="F24" s="43">
        <v>1.2290000000000001E-2</v>
      </c>
      <c r="G24" s="43">
        <v>1.8273999999999999E-2</v>
      </c>
    </row>
    <row r="25" spans="1:7" x14ac:dyDescent="0.3">
      <c r="A25" s="38">
        <v>45958</v>
      </c>
      <c r="B25" s="43">
        <v>1.7240000000000001E-3</v>
      </c>
      <c r="C25" s="43">
        <v>-8.9210000000000001E-3</v>
      </c>
      <c r="D25" s="43">
        <v>1.2091000000000001E-2</v>
      </c>
      <c r="E25" s="43">
        <v>-2.4109999999999999E-3</v>
      </c>
      <c r="F25" s="43">
        <v>2.2880000000000001E-3</v>
      </c>
      <c r="G25" s="43">
        <v>7.3809999999999995E-3</v>
      </c>
    </row>
    <row r="26" spans="1:7" x14ac:dyDescent="0.3">
      <c r="A26" s="38">
        <v>45959</v>
      </c>
      <c r="B26" s="43">
        <v>5.2499999999999997E-4</v>
      </c>
      <c r="C26" s="43">
        <v>4.4120000000000001E-3</v>
      </c>
      <c r="D26" s="43">
        <v>1.2646999999999999E-2</v>
      </c>
      <c r="E26" s="43">
        <v>-6.2939999999999992E-3</v>
      </c>
      <c r="F26" s="43">
        <v>-4.4000000000000006E-5</v>
      </c>
      <c r="G26" s="43">
        <v>4.1399999999999996E-3</v>
      </c>
    </row>
    <row r="27" spans="1:7" x14ac:dyDescent="0.3">
      <c r="A27" s="38">
        <v>45960</v>
      </c>
      <c r="B27" s="43">
        <v>-4.6760000000000005E-3</v>
      </c>
      <c r="C27" s="43">
        <v>4.4180000000000001E-3</v>
      </c>
      <c r="D27" s="43">
        <v>1.4815E-2</v>
      </c>
      <c r="E27" s="43">
        <v>6.5310000000000003E-3</v>
      </c>
      <c r="F27" s="43">
        <v>-9.9050000000000006E-3</v>
      </c>
      <c r="G27" s="43">
        <v>-1.4740999999999999E-2</v>
      </c>
    </row>
    <row r="28" spans="1:7" x14ac:dyDescent="0.3">
      <c r="A28" s="38">
        <v>45961</v>
      </c>
      <c r="B28" s="43">
        <v>-2.6619999999999999E-3</v>
      </c>
      <c r="C28" s="43">
        <v>-4.7730000000000003E-3</v>
      </c>
      <c r="D28" s="43">
        <v>-8.9619999999999995E-3</v>
      </c>
      <c r="E28" s="43">
        <v>7.7130000000000002E-3</v>
      </c>
      <c r="F28" s="43">
        <v>2.6179999999999997E-3</v>
      </c>
      <c r="G28" s="43">
        <v>4.7920000000000003E-3</v>
      </c>
    </row>
    <row r="29" spans="1:7" x14ac:dyDescent="0.3">
      <c r="A29" s="38">
        <v>45964</v>
      </c>
      <c r="B29" s="43">
        <v>-3.8390000000000004E-3</v>
      </c>
      <c r="C29" s="43">
        <v>4.5450000000000004E-3</v>
      </c>
      <c r="D29" s="43">
        <v>-2.209E-3</v>
      </c>
      <c r="E29" s="43">
        <v>1.9170000000000001E-3</v>
      </c>
      <c r="F29" s="43">
        <v>1.7210000000000001E-3</v>
      </c>
      <c r="G29" s="43">
        <v>4.4400000000000004E-3</v>
      </c>
    </row>
    <row r="30" spans="1:7" x14ac:dyDescent="0.3">
      <c r="A30" s="38">
        <v>45965</v>
      </c>
      <c r="B30" s="43">
        <v>-7.7200000000000001E-4</v>
      </c>
      <c r="C30" s="43">
        <v>-1.3148999999999999E-2</v>
      </c>
      <c r="D30" s="43">
        <v>-1.5828999999999999E-2</v>
      </c>
      <c r="E30" s="43">
        <v>5.7999999999999994E-5</v>
      </c>
      <c r="F30" s="43">
        <v>-1.1736999999999999E-2</v>
      </c>
      <c r="G30" s="43">
        <v>-2.0684999999999999E-2</v>
      </c>
    </row>
    <row r="31" spans="1:7" x14ac:dyDescent="0.3">
      <c r="A31" s="38">
        <v>45966</v>
      </c>
      <c r="B31" s="43">
        <v>-2.9170000000000003E-3</v>
      </c>
      <c r="C31" s="43">
        <v>8.2579999999999997E-3</v>
      </c>
      <c r="D31" s="43">
        <v>1.5552999999999999E-2</v>
      </c>
      <c r="E31" s="43">
        <v>-4.1960000000000001E-3</v>
      </c>
      <c r="F31" s="43">
        <v>3.6540000000000001E-3</v>
      </c>
      <c r="G31" s="43">
        <v>7.247E-3</v>
      </c>
    </row>
    <row r="32" spans="1:7" x14ac:dyDescent="0.3">
      <c r="A32" s="38">
        <v>45967</v>
      </c>
      <c r="B32" s="43">
        <v>9.77E-4</v>
      </c>
      <c r="C32" s="43">
        <v>-1.01E-4</v>
      </c>
      <c r="D32" s="43">
        <v>-1.4419999999999999E-3</v>
      </c>
      <c r="E32" s="43">
        <v>3.3600000000000001E-3</v>
      </c>
      <c r="F32" s="43">
        <v>-1.1177999999999999E-2</v>
      </c>
      <c r="G32" s="43">
        <v>-1.9125E-2</v>
      </c>
    </row>
    <row r="33" spans="1:7" x14ac:dyDescent="0.3">
      <c r="A33" s="38">
        <v>45968</v>
      </c>
      <c r="B33" s="43">
        <v>4.5620000000000001E-3</v>
      </c>
      <c r="C33" s="43">
        <v>4.8999999999999998E-3</v>
      </c>
      <c r="D33" s="43">
        <v>4.666E-3</v>
      </c>
      <c r="E33" s="43">
        <v>-7.3019999999999995E-3</v>
      </c>
      <c r="F33" s="43">
        <v>1.2620000000000001E-3</v>
      </c>
      <c r="G33" s="43">
        <v>-2.7950000000000002E-3</v>
      </c>
    </row>
    <row r="34" spans="1:7" x14ac:dyDescent="0.3">
      <c r="A34" s="38">
        <v>45971</v>
      </c>
      <c r="B34" s="43">
        <v>-4.6199999999999995E-4</v>
      </c>
      <c r="C34" s="43">
        <v>2.8104000000000001E-2</v>
      </c>
      <c r="D34" s="43">
        <v>4.4984000000000003E-2</v>
      </c>
      <c r="E34" s="43">
        <v>5.6820000000000004E-3</v>
      </c>
      <c r="F34" s="43">
        <v>1.5401E-2</v>
      </c>
      <c r="G34" s="43">
        <v>2.2023999999999998E-2</v>
      </c>
    </row>
    <row r="35" spans="1:7" x14ac:dyDescent="0.3">
      <c r="A35" s="38">
        <v>45972</v>
      </c>
      <c r="B35" s="43">
        <v>1.1559999999999999E-3</v>
      </c>
      <c r="C35" s="43">
        <v>-1.2160000000000001E-3</v>
      </c>
      <c r="D35" s="43">
        <v>8.7889999999999999E-3</v>
      </c>
      <c r="E35" s="43">
        <v>2.1390000000000003E-3</v>
      </c>
      <c r="F35" s="43">
        <v>2.075E-3</v>
      </c>
      <c r="G35" s="43">
        <v>-3.055E-3</v>
      </c>
    </row>
    <row r="36" spans="1:7" x14ac:dyDescent="0.3">
      <c r="A36" s="38">
        <v>45973</v>
      </c>
      <c r="B36" s="43">
        <v>2.6190000000000002E-3</v>
      </c>
      <c r="C36" s="43">
        <v>2.3765000000000001E-2</v>
      </c>
      <c r="D36" s="43">
        <v>5.3616999999999998E-2</v>
      </c>
      <c r="E36" s="43">
        <v>-4.6100000000000004E-4</v>
      </c>
      <c r="F36" s="43">
        <v>6.3000000000000003E-4</v>
      </c>
      <c r="G36" s="43">
        <v>-6.3299999999999999E-4</v>
      </c>
    </row>
    <row r="37" spans="1:7" x14ac:dyDescent="0.3">
      <c r="A37" s="38">
        <v>45974</v>
      </c>
      <c r="B37" s="43">
        <v>4.0599999999999995E-4</v>
      </c>
      <c r="C37" s="43">
        <v>-4.1619999999999999E-3</v>
      </c>
      <c r="D37" s="43">
        <v>-4.8380000000000003E-3</v>
      </c>
      <c r="E37" s="43">
        <v>4.1410000000000006E-3</v>
      </c>
      <c r="F37" s="43">
        <v>-1.6556999999999999E-2</v>
      </c>
      <c r="G37" s="43">
        <v>-2.053E-2</v>
      </c>
    </row>
    <row r="38" spans="1:7" x14ac:dyDescent="0.3">
      <c r="A38" s="38">
        <v>45975</v>
      </c>
      <c r="B38" s="43">
        <v>3.431E-3</v>
      </c>
      <c r="C38" s="43">
        <v>-2.3717000000000002E-2</v>
      </c>
      <c r="D38" s="43">
        <v>-4.6802999999999997E-2</v>
      </c>
      <c r="E38" s="43">
        <v>-5.1699999999999999E-4</v>
      </c>
      <c r="F38" s="43">
        <v>-5.0200000000000006E-4</v>
      </c>
      <c r="G38" s="43">
        <v>5.9099999999999995E-4</v>
      </c>
    </row>
    <row r="39" spans="1:7" x14ac:dyDescent="0.3">
      <c r="A39" s="38">
        <v>45978</v>
      </c>
      <c r="B39" s="43">
        <v>-1.4289999999999999E-3</v>
      </c>
      <c r="C39" s="43">
        <v>-4.7220000000000005E-3</v>
      </c>
      <c r="D39" s="43">
        <v>6.9200000000000002E-4</v>
      </c>
      <c r="E39" s="43">
        <v>-3.1E-4</v>
      </c>
      <c r="F39" s="43">
        <v>-9.162E-3</v>
      </c>
      <c r="G39" s="43">
        <v>-8.3299999999999989E-3</v>
      </c>
    </row>
    <row r="40" spans="1:7" x14ac:dyDescent="0.3">
      <c r="A40" s="38">
        <v>45979</v>
      </c>
      <c r="B40" s="43">
        <v>-2.1329999999999999E-3</v>
      </c>
      <c r="C40" s="43">
        <v>-1.7210000000000001E-3</v>
      </c>
      <c r="D40" s="43">
        <v>-3.457E-3</v>
      </c>
      <c r="E40" s="43">
        <v>4.4510000000000001E-3</v>
      </c>
      <c r="F40" s="43">
        <v>-8.2559999999999995E-3</v>
      </c>
      <c r="G40" s="43">
        <v>-1.1969E-2</v>
      </c>
    </row>
    <row r="41" spans="1:7" x14ac:dyDescent="0.3">
      <c r="A41" s="38">
        <v>45980</v>
      </c>
      <c r="B41" s="43">
        <v>-8.1100000000000009E-4</v>
      </c>
      <c r="C41" s="43">
        <v>4.0379999999999999E-3</v>
      </c>
      <c r="D41" s="43">
        <v>6.7390000000000002E-3</v>
      </c>
      <c r="E41" s="43">
        <v>1.771E-3</v>
      </c>
      <c r="F41" s="43">
        <v>3.754E-3</v>
      </c>
      <c r="G41" s="43">
        <v>5.6079999999999993E-3</v>
      </c>
    </row>
    <row r="42" spans="1:7" x14ac:dyDescent="0.3">
      <c r="A42" s="38">
        <v>45981</v>
      </c>
      <c r="B42" s="43">
        <v>-3.4970000000000001E-3</v>
      </c>
      <c r="C42" s="43">
        <v>-5.1990000000000005E-3</v>
      </c>
      <c r="D42" s="43">
        <v>-1.0690999999999999E-2</v>
      </c>
      <c r="E42" s="43">
        <v>9.2829999999999996E-3</v>
      </c>
      <c r="F42" s="43">
        <v>-1.5566999999999999E-2</v>
      </c>
      <c r="G42" s="43">
        <v>-2.3788E-2</v>
      </c>
    </row>
    <row r="43" spans="1:7" x14ac:dyDescent="0.3">
      <c r="A43" s="38">
        <v>45982</v>
      </c>
      <c r="B43" s="43">
        <v>-5.31E-4</v>
      </c>
      <c r="C43" s="43">
        <v>4.9800000000000001E-3</v>
      </c>
      <c r="D43" s="43">
        <v>-7.443E-3</v>
      </c>
      <c r="E43" s="43">
        <v>2.4009999999999999E-3</v>
      </c>
      <c r="F43" s="43">
        <v>9.8230000000000001E-3</v>
      </c>
      <c r="G43" s="43">
        <v>7.6990000000000001E-3</v>
      </c>
    </row>
    <row r="44" spans="1:7" x14ac:dyDescent="0.3">
      <c r="A44" s="38">
        <v>45985</v>
      </c>
      <c r="B44" s="43">
        <v>-2.336E-3</v>
      </c>
      <c r="C44" s="43">
        <v>3.7280000000000004E-3</v>
      </c>
      <c r="D44" s="43">
        <v>8.4609999999999998E-3</v>
      </c>
      <c r="E44" s="43">
        <v>-4.3270000000000001E-3</v>
      </c>
      <c r="F44" s="43">
        <v>1.5467E-2</v>
      </c>
      <c r="G44" s="43">
        <v>2.6166999999999999E-2</v>
      </c>
    </row>
    <row r="45" spans="1:7" x14ac:dyDescent="0.3">
      <c r="A45" s="38">
        <v>45986</v>
      </c>
      <c r="B45" s="43">
        <v>1.083E-3</v>
      </c>
      <c r="C45" s="43">
        <v>1.1559E-2</v>
      </c>
      <c r="D45" s="43">
        <v>1.2704999999999999E-2</v>
      </c>
      <c r="E45" s="43">
        <v>1.6020000000000001E-3</v>
      </c>
      <c r="F45" s="43">
        <v>9.0620000000000006E-3</v>
      </c>
      <c r="G45" s="43">
        <v>5.8099999999999992E-3</v>
      </c>
    </row>
    <row r="46" spans="1:7" x14ac:dyDescent="0.3">
      <c r="A46" s="38">
        <v>45987</v>
      </c>
      <c r="B46" s="43">
        <v>3.8860000000000001E-3</v>
      </c>
      <c r="C46" s="43">
        <v>6.2810000000000001E-3</v>
      </c>
      <c r="D46" s="43">
        <v>3.8913000000000003E-2</v>
      </c>
      <c r="E46" s="43">
        <v>-4.5179999999999994E-3</v>
      </c>
      <c r="F46" s="43">
        <v>6.9069999999999999E-3</v>
      </c>
      <c r="G46" s="43">
        <v>8.737E-3</v>
      </c>
    </row>
    <row r="47" spans="1:7" x14ac:dyDescent="0.3">
      <c r="A47" s="38">
        <v>45988</v>
      </c>
      <c r="B47" s="43">
        <v>3.225E-3</v>
      </c>
      <c r="C47" s="43">
        <v>0</v>
      </c>
      <c r="D47" s="43">
        <v>0</v>
      </c>
      <c r="E47" s="43">
        <v>5.7999999999999994E-5</v>
      </c>
      <c r="F47" s="43">
        <v>0</v>
      </c>
      <c r="G47" s="43">
        <v>0</v>
      </c>
    </row>
    <row r="48" spans="1:7" x14ac:dyDescent="0.3">
      <c r="A48" s="38">
        <v>45989</v>
      </c>
      <c r="B48" s="43">
        <v>-1.9699999999999999E-4</v>
      </c>
      <c r="C48" s="43">
        <v>1.2747999999999999E-2</v>
      </c>
      <c r="D48" s="43">
        <v>6.6708999999999991E-2</v>
      </c>
      <c r="E48" s="43">
        <v>2.8800000000000001E-4</v>
      </c>
      <c r="F48" s="43">
        <v>5.3549999999999995E-3</v>
      </c>
      <c r="G48" s="43">
        <v>7.8440000000000003E-3</v>
      </c>
    </row>
    <row r="49" spans="1:7" x14ac:dyDescent="0.3">
      <c r="A49" s="38">
        <v>45992</v>
      </c>
      <c r="B49" s="43">
        <v>1.3899999999999999E-4</v>
      </c>
      <c r="C49" s="43">
        <v>4.9779999999999998E-3</v>
      </c>
      <c r="D49" s="43">
        <v>3.4935999999999995E-2</v>
      </c>
      <c r="E49" s="43">
        <v>-2.2780000000000001E-3</v>
      </c>
      <c r="F49" s="43">
        <v>-5.3229999999999996E-3</v>
      </c>
      <c r="G49" s="43">
        <v>-3.6189999999999998E-3</v>
      </c>
    </row>
    <row r="50" spans="1:7" x14ac:dyDescent="0.3">
      <c r="A50" s="38">
        <v>45993</v>
      </c>
      <c r="B50" s="43">
        <v>5.3400000000000008E-4</v>
      </c>
      <c r="C50" s="43">
        <v>-1.2431000000000001E-2</v>
      </c>
      <c r="D50" s="43">
        <v>-7.4460000000000004E-3</v>
      </c>
      <c r="E50" s="43">
        <v>-2.379E-3</v>
      </c>
      <c r="F50" s="43">
        <v>2.457E-3</v>
      </c>
      <c r="G50" s="43">
        <v>8.405000000000001E-3</v>
      </c>
    </row>
    <row r="51" spans="1:7" x14ac:dyDescent="0.3">
      <c r="A51" s="38">
        <v>45994</v>
      </c>
      <c r="B51" s="43">
        <v>1.7439999999999999E-3</v>
      </c>
      <c r="C51" s="43">
        <v>3.0330000000000001E-3</v>
      </c>
      <c r="D51" s="43">
        <v>-1.0689999999999999E-3</v>
      </c>
      <c r="E51" s="43">
        <v>1.6070000000000001E-3</v>
      </c>
      <c r="F51" s="43">
        <v>2.98E-3</v>
      </c>
      <c r="G51" s="43">
        <v>1.983E-3</v>
      </c>
    </row>
    <row r="52" spans="1:7" x14ac:dyDescent="0.3">
      <c r="A52" s="38">
        <v>45995</v>
      </c>
      <c r="B52" s="43">
        <v>3.3479999999999998E-3</v>
      </c>
      <c r="C52" s="43">
        <v>2.977E-3</v>
      </c>
      <c r="D52" s="43">
        <v>-1.8543E-2</v>
      </c>
      <c r="E52" s="43">
        <v>-4.4929999999999996E-3</v>
      </c>
      <c r="F52" s="43">
        <v>1.08E-3</v>
      </c>
      <c r="G52" s="43">
        <v>-9.7000000000000005E-4</v>
      </c>
    </row>
    <row r="53" spans="1:7" x14ac:dyDescent="0.3">
      <c r="A53" s="38">
        <v>45996</v>
      </c>
      <c r="B53" s="43">
        <v>-2.0609999999999999E-3</v>
      </c>
      <c r="C53" s="43">
        <v>2.61E-4</v>
      </c>
      <c r="D53" s="43">
        <v>2.7705999999999998E-2</v>
      </c>
      <c r="E53" s="43">
        <v>2.2599999999999999E-4</v>
      </c>
      <c r="F53" s="43">
        <v>1.9370000000000001E-3</v>
      </c>
      <c r="G53" s="43">
        <v>4.3140000000000001E-3</v>
      </c>
    </row>
    <row r="54" spans="1:7" x14ac:dyDescent="0.3">
      <c r="A54" s="38">
        <v>45999</v>
      </c>
      <c r="B54" s="43">
        <v>-2.2100000000000001E-4</v>
      </c>
      <c r="C54" s="43">
        <v>-6.0999999999999995E-3</v>
      </c>
      <c r="D54" s="43">
        <v>-1.1006E-2</v>
      </c>
      <c r="E54" s="43">
        <v>1.276E-3</v>
      </c>
      <c r="F54" s="43">
        <v>-3.4770000000000001E-3</v>
      </c>
      <c r="G54" s="43">
        <v>-2.4949999999999998E-3</v>
      </c>
    </row>
    <row r="55" spans="1:7" x14ac:dyDescent="0.3">
      <c r="A55" s="38">
        <v>46000</v>
      </c>
      <c r="B55" s="43">
        <v>1.05E-4</v>
      </c>
      <c r="C55" s="43">
        <v>4.6569999999999997E-3</v>
      </c>
      <c r="D55" s="43">
        <v>4.1363999999999998E-2</v>
      </c>
      <c r="E55" s="43">
        <v>3.2440000000000004E-3</v>
      </c>
      <c r="F55" s="43">
        <v>-8.7599999999999993E-4</v>
      </c>
      <c r="G55" s="43">
        <v>1.5900000000000001E-3</v>
      </c>
    </row>
    <row r="56" spans="1:7" x14ac:dyDescent="0.3">
      <c r="A56" s="38">
        <v>46001</v>
      </c>
      <c r="B56" s="43">
        <v>-1.1279999999999999E-3</v>
      </c>
      <c r="C56" s="43">
        <v>-2.4490000000000002E-3</v>
      </c>
      <c r="D56" s="43">
        <v>3.4899999999999996E-3</v>
      </c>
      <c r="E56" s="43">
        <v>6.378E-3</v>
      </c>
      <c r="F56" s="43">
        <v>6.7500000000000008E-3</v>
      </c>
      <c r="G56" s="43">
        <v>4.1980000000000003E-3</v>
      </c>
    </row>
    <row r="57" spans="1:7" x14ac:dyDescent="0.3">
      <c r="A57" s="38">
        <v>46002</v>
      </c>
      <c r="B57" s="43">
        <v>6.2719999999999998E-3</v>
      </c>
      <c r="C57" s="43">
        <v>2.1232999999999998E-2</v>
      </c>
      <c r="D57" s="43">
        <v>5.8795E-2</v>
      </c>
      <c r="E57" s="43">
        <v>-6.6820000000000004E-3</v>
      </c>
      <c r="F57" s="43">
        <v>2.0790000000000001E-3</v>
      </c>
      <c r="G57" s="43">
        <v>-3.4820000000000003E-3</v>
      </c>
    </row>
    <row r="58" spans="1:7" x14ac:dyDescent="0.3">
      <c r="A58" s="38">
        <v>46003</v>
      </c>
      <c r="B58" s="43">
        <v>3.2640000000000004E-3</v>
      </c>
      <c r="C58" s="43">
        <v>3.4069999999999999E-3</v>
      </c>
      <c r="D58" s="43">
        <v>-4.0153999999999995E-2</v>
      </c>
      <c r="E58" s="43">
        <v>-1.431E-3</v>
      </c>
      <c r="F58" s="43">
        <v>-1.0664E-2</v>
      </c>
      <c r="G58" s="43">
        <v>-1.9074000000000001E-2</v>
      </c>
    </row>
    <row r="59" spans="1:7" x14ac:dyDescent="0.3">
      <c r="A59" s="38">
        <v>46006</v>
      </c>
      <c r="B59" s="43">
        <v>-1.5300000000000001E-4</v>
      </c>
      <c r="C59" s="43">
        <v>1.5349999999999999E-3</v>
      </c>
      <c r="D59" s="43">
        <v>2.5716000000000003E-2</v>
      </c>
      <c r="E59" s="43">
        <v>2.0630000000000002E-3</v>
      </c>
      <c r="F59" s="43">
        <v>-1.5970000000000001E-3</v>
      </c>
      <c r="G59" s="43">
        <v>-5.1380000000000002E-3</v>
      </c>
    </row>
    <row r="60" spans="1:7" x14ac:dyDescent="0.3">
      <c r="A60" s="38">
        <v>46007</v>
      </c>
      <c r="B60" s="43">
        <v>1.446E-3</v>
      </c>
      <c r="C60" s="43">
        <v>-5.1099999999999995E-4</v>
      </c>
      <c r="D60" s="43">
        <v>-3.8129999999999995E-3</v>
      </c>
      <c r="E60" s="43">
        <v>-5.6000000000000008E-3</v>
      </c>
      <c r="F60" s="43">
        <v>-2.3839999999999998E-3</v>
      </c>
      <c r="G60" s="43">
        <v>2.6199999999999999E-3</v>
      </c>
    </row>
    <row r="61" spans="1:7" x14ac:dyDescent="0.3">
      <c r="A61" s="38">
        <v>46008</v>
      </c>
      <c r="B61" s="43">
        <v>-4.3499999999999995E-4</v>
      </c>
      <c r="C61" s="43">
        <v>9.9900000000000006E-3</v>
      </c>
      <c r="D61" s="43">
        <v>5.6410999999999996E-2</v>
      </c>
      <c r="E61" s="43">
        <v>-1.529E-3</v>
      </c>
      <c r="F61" s="43">
        <v>-1.1592E-2</v>
      </c>
      <c r="G61" s="43">
        <v>-1.9311000000000002E-2</v>
      </c>
    </row>
    <row r="62" spans="1:7" x14ac:dyDescent="0.3">
      <c r="A62" s="38">
        <v>46009</v>
      </c>
      <c r="B62" s="43">
        <v>-6.11E-4</v>
      </c>
      <c r="C62" s="43">
        <v>-1.8400000000000001E-3</v>
      </c>
      <c r="D62" s="43">
        <v>-2.4834999999999999E-2</v>
      </c>
      <c r="E62" s="43">
        <v>4.6319999999999998E-3</v>
      </c>
      <c r="F62" s="43">
        <v>7.9340000000000001E-3</v>
      </c>
      <c r="G62" s="43">
        <v>1.5082999999999999E-2</v>
      </c>
    </row>
    <row r="63" spans="1:7" x14ac:dyDescent="0.3">
      <c r="A63" s="38">
        <v>46010</v>
      </c>
      <c r="B63" s="43">
        <v>-1.4189999999999999E-3</v>
      </c>
      <c r="C63" s="43">
        <v>5.0470000000000003E-3</v>
      </c>
      <c r="D63" s="43">
        <v>3.4880000000000001E-2</v>
      </c>
      <c r="E63" s="43">
        <v>5.8500000000000002E-4</v>
      </c>
      <c r="F63" s="43">
        <v>8.8179999999999994E-3</v>
      </c>
      <c r="G63" s="43">
        <v>1.3062000000000001E-2</v>
      </c>
    </row>
    <row r="64" spans="1:7" x14ac:dyDescent="0.3">
      <c r="A64" s="38">
        <v>46013</v>
      </c>
      <c r="B64" s="43">
        <v>-1.4990000000000001E-3</v>
      </c>
      <c r="C64" s="43">
        <v>1.9075999999999999E-2</v>
      </c>
      <c r="D64" s="43">
        <v>1.5872000000000001E-2</v>
      </c>
      <c r="E64" s="43">
        <v>1.3432999999999999E-2</v>
      </c>
      <c r="F64" s="43">
        <v>6.4359999999999999E-3</v>
      </c>
      <c r="G64" s="43">
        <v>4.5579999999999996E-3</v>
      </c>
    </row>
    <row r="65" spans="1:7" x14ac:dyDescent="0.3">
      <c r="A65" s="38">
        <v>46014</v>
      </c>
      <c r="B65" s="43">
        <v>4.9419999999999993E-3</v>
      </c>
      <c r="C65" s="43">
        <v>8.5950000000000002E-3</v>
      </c>
      <c r="D65" s="43">
        <v>3.7978999999999999E-2</v>
      </c>
      <c r="E65" s="43">
        <v>-5.0670000000000003E-3</v>
      </c>
      <c r="F65" s="43">
        <v>4.5500000000000002E-3</v>
      </c>
      <c r="G65" s="43">
        <v>4.9540000000000001E-3</v>
      </c>
    </row>
    <row r="66" spans="1:7" x14ac:dyDescent="0.3">
      <c r="A66" s="38">
        <v>46015</v>
      </c>
      <c r="B66" s="43">
        <v>2.513E-3</v>
      </c>
      <c r="C66" s="43">
        <v>-4.9100000000000001E-4</v>
      </c>
      <c r="D66" s="43">
        <v>7.7459999999999994E-3</v>
      </c>
      <c r="E66" s="43">
        <v>-4.4679999999999997E-3</v>
      </c>
      <c r="F66" s="43">
        <v>3.2209999999999999E-3</v>
      </c>
      <c r="G66" s="43">
        <v>2.6700000000000001E-3</v>
      </c>
    </row>
    <row r="67" spans="1:7" x14ac:dyDescent="0.3">
      <c r="A67" s="38">
        <v>46017</v>
      </c>
      <c r="B67" s="43">
        <v>-8.5999999999999998E-4</v>
      </c>
      <c r="C67" s="43">
        <v>1.0824E-2</v>
      </c>
      <c r="D67" s="43">
        <v>7.6797000000000004E-2</v>
      </c>
      <c r="E67" s="43">
        <v>-5.5100000000000006E-4</v>
      </c>
      <c r="F67" s="43">
        <v>-3.0400000000000002E-4</v>
      </c>
      <c r="G67" s="43">
        <v>-4.5800000000000002E-4</v>
      </c>
    </row>
    <row r="68" spans="1:7" x14ac:dyDescent="0.3">
      <c r="A68" s="38">
        <v>46020</v>
      </c>
      <c r="B68" s="43">
        <v>-1.0709999999999999E-3</v>
      </c>
      <c r="C68" s="43">
        <v>-4.5041999999999999E-2</v>
      </c>
      <c r="D68" s="43">
        <v>-8.6682000000000009E-2</v>
      </c>
      <c r="E68" s="43">
        <v>2.3899999999999998E-3</v>
      </c>
      <c r="F68" s="43">
        <v>-3.4920000000000003E-3</v>
      </c>
      <c r="G68" s="43">
        <v>-4.6340000000000001E-3</v>
      </c>
    </row>
    <row r="69" spans="1:7" x14ac:dyDescent="0.3">
      <c r="A69" s="38">
        <v>46021</v>
      </c>
      <c r="B69" s="43">
        <v>1.1999999999999999E-5</v>
      </c>
      <c r="C69" s="43">
        <v>1.0404E-2</v>
      </c>
      <c r="D69" s="43">
        <v>0.10762100000000001</v>
      </c>
      <c r="E69" s="43">
        <v>-2.8760000000000001E-3</v>
      </c>
      <c r="F69" s="43">
        <v>-1.3760000000000001E-3</v>
      </c>
      <c r="G69" s="43">
        <v>-2.4679999999999997E-3</v>
      </c>
    </row>
    <row r="70" spans="1:7" x14ac:dyDescent="0.3">
      <c r="A70" s="38">
        <v>46022</v>
      </c>
      <c r="B70" s="43">
        <v>-2.173E-3</v>
      </c>
      <c r="C70" s="43">
        <v>-1.0182999999999999E-2</v>
      </c>
      <c r="D70" s="43">
        <v>-9.3571000000000015E-2</v>
      </c>
      <c r="E70" s="43">
        <v>2.5640000000000003E-3</v>
      </c>
      <c r="F70" s="43">
        <v>-7.358E-3</v>
      </c>
      <c r="G70" s="43">
        <v>-8.3540000000000003E-3</v>
      </c>
    </row>
    <row r="71" spans="1:7" x14ac:dyDescent="0.3">
      <c r="A71" s="38">
        <v>46024</v>
      </c>
      <c r="B71" s="43">
        <v>2.7E-4</v>
      </c>
      <c r="C71" s="43">
        <v>-2.5890000000000002E-3</v>
      </c>
      <c r="D71" s="43">
        <v>6.0169999999999998E-3</v>
      </c>
      <c r="E71" s="43">
        <v>2.0330000000000001E-3</v>
      </c>
      <c r="F71" s="43">
        <v>1.895E-3</v>
      </c>
      <c r="G71" s="43">
        <v>-1.7299999999999998E-3</v>
      </c>
    </row>
    <row r="72" spans="1:7" x14ac:dyDescent="0.3">
      <c r="A72" s="38">
        <v>46027</v>
      </c>
      <c r="B72" s="43">
        <v>-3.898E-3</v>
      </c>
      <c r="C72" s="43">
        <v>2.8393000000000002E-2</v>
      </c>
      <c r="D72" s="43">
        <v>7.9482999999999998E-2</v>
      </c>
      <c r="E72" s="43">
        <v>1.6459999999999999E-3</v>
      </c>
      <c r="F72" s="43">
        <v>6.3539999999999994E-3</v>
      </c>
      <c r="G72" s="43">
        <v>7.7419999999999998E-3</v>
      </c>
    </row>
    <row r="73" spans="1:7" x14ac:dyDescent="0.3">
      <c r="A73" s="38">
        <v>46028</v>
      </c>
      <c r="B73" s="43">
        <v>8.7900000000000001E-4</v>
      </c>
      <c r="C73" s="43">
        <v>1.0209999999999999E-2</v>
      </c>
      <c r="D73" s="43">
        <v>5.7324E-2</v>
      </c>
      <c r="E73" s="43">
        <v>-2.3119999999999998E-3</v>
      </c>
      <c r="F73" s="43">
        <v>6.1970000000000003E-3</v>
      </c>
      <c r="G73" s="43">
        <v>9.3849999999999992E-3</v>
      </c>
    </row>
    <row r="74" spans="1:7" x14ac:dyDescent="0.3">
      <c r="A74" s="38">
        <v>46029</v>
      </c>
      <c r="B74" s="43">
        <v>-2.2789999999999998E-3</v>
      </c>
      <c r="C74" s="43">
        <v>-7.3400000000000002E-3</v>
      </c>
      <c r="D74" s="43">
        <v>-4.2158000000000001E-2</v>
      </c>
      <c r="E74" s="43">
        <v>3.4500000000000004E-4</v>
      </c>
      <c r="F74" s="43">
        <v>-3.4399999999999999E-3</v>
      </c>
      <c r="G74" s="43">
        <v>5.53E-4</v>
      </c>
    </row>
    <row r="75" spans="1:7" x14ac:dyDescent="0.3">
      <c r="A75" s="38">
        <v>46030</v>
      </c>
      <c r="B75" s="43">
        <v>-9.810000000000001E-4</v>
      </c>
      <c r="C75" s="43">
        <v>8.9999999999999992E-5</v>
      </c>
      <c r="D75" s="43">
        <v>-3.1361E-2</v>
      </c>
      <c r="E75" s="43">
        <v>3.2599999999999996E-4</v>
      </c>
      <c r="F75" s="43">
        <v>7.7000000000000001E-5</v>
      </c>
      <c r="G75" s="43">
        <v>-5.7220000000000005E-3</v>
      </c>
    </row>
    <row r="76" spans="1:7" x14ac:dyDescent="0.3">
      <c r="A76" s="38">
        <v>46031</v>
      </c>
      <c r="B76" s="43">
        <v>-1.6200000000000001E-3</v>
      </c>
      <c r="C76" s="43">
        <v>9.1240000000000002E-3</v>
      </c>
      <c r="D76" s="43">
        <v>5.5785000000000001E-2</v>
      </c>
      <c r="E76" s="43">
        <v>9.5100000000000002E-4</v>
      </c>
      <c r="F76" s="43">
        <v>6.4749999999999999E-3</v>
      </c>
      <c r="G76" s="43">
        <v>1.0160000000000001E-2</v>
      </c>
    </row>
    <row r="77" spans="1:7" x14ac:dyDescent="0.3">
      <c r="A77" s="38">
        <v>46034</v>
      </c>
      <c r="B77" s="43">
        <v>-2.9289999999999997E-3</v>
      </c>
      <c r="C77" s="43">
        <v>2.5388000000000001E-2</v>
      </c>
      <c r="D77" s="43">
        <v>7.2588E-2</v>
      </c>
      <c r="E77" s="43">
        <v>8.088999999999999E-3</v>
      </c>
      <c r="F77" s="43">
        <v>1.578E-3</v>
      </c>
      <c r="G77" s="43">
        <v>8.3099999999999992E-4</v>
      </c>
    </row>
    <row r="78" spans="1:7" x14ac:dyDescent="0.3">
      <c r="A78" s="38">
        <v>46035</v>
      </c>
      <c r="B78" s="43">
        <v>3.7219999999999996E-3</v>
      </c>
      <c r="C78" s="43">
        <v>-3.2790000000000002E-3</v>
      </c>
      <c r="D78" s="43">
        <v>1.4975E-2</v>
      </c>
      <c r="E78" s="43">
        <v>-1.031E-3</v>
      </c>
      <c r="F78" s="43">
        <v>-1.939E-3</v>
      </c>
      <c r="G78" s="43">
        <v>-1.7730000000000001E-3</v>
      </c>
    </row>
    <row r="79" spans="1:7" x14ac:dyDescent="0.3">
      <c r="A79" s="38">
        <v>46036</v>
      </c>
      <c r="B79" s="43">
        <v>-2.0960000000000002E-3</v>
      </c>
      <c r="C79" s="43">
        <v>8.0840000000000009E-3</v>
      </c>
      <c r="D79" s="43">
        <v>5.8129999999999994E-2</v>
      </c>
      <c r="E79" s="43">
        <v>7.5509999999999996E-3</v>
      </c>
      <c r="F79" s="43">
        <v>-5.3330000000000001E-3</v>
      </c>
      <c r="G79" s="43">
        <v>-1.0722000000000001E-2</v>
      </c>
    </row>
    <row r="80" spans="1:7" x14ac:dyDescent="0.3">
      <c r="A80" s="38">
        <v>46037</v>
      </c>
      <c r="B80" s="43">
        <v>3.2599999999999996E-4</v>
      </c>
      <c r="C80" s="43">
        <v>-2.1619999999999999E-3</v>
      </c>
      <c r="D80" s="43">
        <v>1.1082000000000002E-2</v>
      </c>
      <c r="E80" s="43">
        <v>-4.8809999999999999E-3</v>
      </c>
      <c r="F80" s="43">
        <v>2.5800000000000003E-3</v>
      </c>
      <c r="G80" s="43">
        <v>3.186E-3</v>
      </c>
    </row>
    <row r="81" spans="1:7" x14ac:dyDescent="0.3">
      <c r="A81" s="38">
        <v>46038</v>
      </c>
      <c r="B81" s="43">
        <v>-3.2040000000000003E-3</v>
      </c>
      <c r="C81" s="43">
        <v>-6.0440000000000008E-3</v>
      </c>
      <c r="D81" s="43">
        <v>-4.1196999999999998E-2</v>
      </c>
      <c r="E81" s="43">
        <v>1.225E-3</v>
      </c>
      <c r="F81" s="43">
        <v>-6.4199999999999988E-4</v>
      </c>
      <c r="G81" s="43">
        <v>-6.9700000000000003E-4</v>
      </c>
    </row>
    <row r="82" spans="1:7" x14ac:dyDescent="0.3">
      <c r="A82" s="38">
        <v>46041</v>
      </c>
      <c r="B82" s="43">
        <v>1.372E-3</v>
      </c>
      <c r="C82" s="43">
        <v>0</v>
      </c>
      <c r="D82" s="43">
        <v>0</v>
      </c>
      <c r="E82" s="43">
        <v>-6.6900000000000006E-3</v>
      </c>
      <c r="F82" s="43">
        <v>0</v>
      </c>
      <c r="G82" s="43">
        <v>0</v>
      </c>
    </row>
    <row r="83" spans="1:7" x14ac:dyDescent="0.3">
      <c r="A83" s="38">
        <v>46042</v>
      </c>
      <c r="B83" s="43">
        <v>1.222E-3</v>
      </c>
      <c r="C83" s="43">
        <v>3.7311999999999998E-2</v>
      </c>
      <c r="D83" s="43">
        <v>6.9417000000000006E-2</v>
      </c>
      <c r="E83" s="43">
        <v>4.0749999999999996E-3</v>
      </c>
      <c r="F83" s="43">
        <v>-2.0627E-2</v>
      </c>
      <c r="G83" s="43">
        <v>-2.1218000000000001E-2</v>
      </c>
    </row>
    <row r="84" spans="1:7" x14ac:dyDescent="0.3">
      <c r="A84" s="38">
        <v>46043</v>
      </c>
      <c r="B84" s="43">
        <v>7.6229999999999996E-3</v>
      </c>
      <c r="C84" s="43">
        <v>1.5168999999999998E-2</v>
      </c>
      <c r="D84" s="43">
        <v>-2.1187999999999999E-2</v>
      </c>
      <c r="E84" s="43">
        <v>-9.4999999999999992E-5</v>
      </c>
      <c r="F84" s="43">
        <v>1.1588000000000001E-2</v>
      </c>
      <c r="G84" s="43">
        <v>1.3567000000000001E-2</v>
      </c>
    </row>
    <row r="85" spans="1:7" x14ac:dyDescent="0.3">
      <c r="A85" s="38">
        <v>46044</v>
      </c>
      <c r="B85" s="43">
        <v>-4.6810000000000003E-3</v>
      </c>
      <c r="C85" s="43">
        <v>1.5935999999999999E-2</v>
      </c>
      <c r="D85" s="43">
        <v>4.0842000000000003E-2</v>
      </c>
      <c r="E85" s="43">
        <v>1.8590000000000002E-3</v>
      </c>
      <c r="F85" s="43">
        <v>5.4879999999999998E-3</v>
      </c>
      <c r="G85" s="43">
        <v>7.5719999999999997E-3</v>
      </c>
    </row>
    <row r="86" spans="1:7" x14ac:dyDescent="0.3">
      <c r="A86" s="38">
        <v>46045</v>
      </c>
      <c r="B86" s="43">
        <v>6.9940000000000002E-3</v>
      </c>
      <c r="C86" s="43">
        <v>1.3731E-2</v>
      </c>
      <c r="D86" s="43">
        <v>5.1565E-2</v>
      </c>
      <c r="E86" s="43">
        <v>2.8400000000000002E-4</v>
      </c>
      <c r="F86" s="43">
        <v>3.2699999999999998E-4</v>
      </c>
      <c r="G86" s="43">
        <v>3.4139999999999999E-3</v>
      </c>
    </row>
    <row r="87" spans="1:7" x14ac:dyDescent="0.3">
      <c r="A87" s="38">
        <v>46048</v>
      </c>
      <c r="B87" s="43">
        <v>8.8349999999999991E-3</v>
      </c>
      <c r="C87" s="43">
        <v>2.0798999999999998E-2</v>
      </c>
      <c r="D87" s="43">
        <v>0.14025299999999999</v>
      </c>
      <c r="E87" s="43">
        <v>-2.1040999999999997E-2</v>
      </c>
      <c r="F87" s="43">
        <v>5.006E-3</v>
      </c>
      <c r="G87" s="43">
        <v>4.2079999999999999E-3</v>
      </c>
    </row>
    <row r="88" spans="1:7" x14ac:dyDescent="0.3">
      <c r="A88" s="38">
        <v>46049</v>
      </c>
      <c r="B88" s="43">
        <v>1.5199999999999999E-3</v>
      </c>
      <c r="C88" s="43">
        <v>3.8999999999999999E-5</v>
      </c>
      <c r="D88" s="43">
        <v>-8.304700000000001E-2</v>
      </c>
      <c r="E88" s="43">
        <v>-5.3490000000000005E-3</v>
      </c>
      <c r="F88" s="43">
        <v>4.0819999999999997E-3</v>
      </c>
      <c r="G88" s="43">
        <v>8.8100000000000001E-3</v>
      </c>
    </row>
    <row r="89" spans="1:7" x14ac:dyDescent="0.3">
      <c r="A89" s="38">
        <v>46050</v>
      </c>
      <c r="B89" s="43">
        <v>1.1886000000000001E-2</v>
      </c>
      <c r="C89" s="43">
        <v>4.3643000000000001E-2</v>
      </c>
      <c r="D89" s="43">
        <v>7.1908E-2</v>
      </c>
      <c r="E89" s="43">
        <v>-1.2201E-2</v>
      </c>
      <c r="F89" s="43">
        <v>-8.2000000000000001E-5</v>
      </c>
      <c r="G89" s="43">
        <v>3.202E-3</v>
      </c>
    </row>
    <row r="90" spans="1:7" x14ac:dyDescent="0.3">
      <c r="A90" s="38">
        <v>46051</v>
      </c>
      <c r="B90" s="43">
        <v>-3.3179999999999998E-3</v>
      </c>
      <c r="C90" s="43">
        <v>3.1689999999999999E-3</v>
      </c>
      <c r="D90" s="43">
        <v>8.1869999999999998E-3</v>
      </c>
      <c r="E90" s="43">
        <v>4.2180000000000004E-3</v>
      </c>
      <c r="F90" s="43">
        <v>-1.2929999999999999E-3</v>
      </c>
      <c r="G90" s="43">
        <v>-5.3220000000000003E-3</v>
      </c>
    </row>
    <row r="91" spans="1:7" x14ac:dyDescent="0.3">
      <c r="A91" s="38">
        <v>46052</v>
      </c>
      <c r="B91" s="43">
        <v>-1.005E-3</v>
      </c>
      <c r="C91" s="43">
        <v>-0.11366199999999999</v>
      </c>
      <c r="D91" s="43">
        <v>-0.31346800000000002</v>
      </c>
      <c r="E91" s="43">
        <v>4.3100000000000001E-4</v>
      </c>
      <c r="F91" s="43">
        <v>-4.3020000000000003E-3</v>
      </c>
      <c r="G91" s="43">
        <v>-1.2822999999999999E-2</v>
      </c>
    </row>
    <row r="92" spans="1:7" x14ac:dyDescent="0.3">
      <c r="A92" s="38">
        <v>46055</v>
      </c>
      <c r="B92" s="43">
        <v>-9.7400000000000004E-3</v>
      </c>
      <c r="C92" s="43">
        <v>-1.9389E-2</v>
      </c>
      <c r="D92" s="43">
        <v>-1.9313E-2</v>
      </c>
      <c r="E92" s="43">
        <v>1.3319000000000001E-2</v>
      </c>
      <c r="F92" s="43">
        <v>5.391E-3</v>
      </c>
      <c r="G92" s="43">
        <v>7.2880000000000002E-3</v>
      </c>
    </row>
    <row r="93" spans="1:7" x14ac:dyDescent="0.3">
      <c r="A93" s="38">
        <v>46056</v>
      </c>
      <c r="B93" s="43">
        <v>-4.2589999999999998E-3</v>
      </c>
      <c r="C93" s="43">
        <v>6.0833000000000005E-2</v>
      </c>
      <c r="D93" s="43">
        <v>8.1585999999999992E-2</v>
      </c>
      <c r="E93" s="43">
        <v>1.5529999999999999E-3</v>
      </c>
      <c r="F93" s="43">
        <v>-8.404E-3</v>
      </c>
      <c r="G93" s="43">
        <v>-1.554E-2</v>
      </c>
    </row>
    <row r="94" spans="1:7" x14ac:dyDescent="0.3">
      <c r="A94" s="38">
        <v>46057</v>
      </c>
      <c r="B94" s="43">
        <v>1.477E-3</v>
      </c>
      <c r="C94" s="43">
        <v>3.4060000000000002E-3</v>
      </c>
      <c r="D94" s="43">
        <v>1.3523E-2</v>
      </c>
      <c r="E94" s="43">
        <v>2.2899999999999999E-3</v>
      </c>
      <c r="F94" s="43">
        <v>-5.0720000000000001E-3</v>
      </c>
      <c r="G94" s="43">
        <v>-1.7656000000000002E-2</v>
      </c>
    </row>
    <row r="95" spans="1:7" x14ac:dyDescent="0.3">
      <c r="A95" s="38">
        <v>46058</v>
      </c>
      <c r="B95" s="43">
        <v>-1.227E-3</v>
      </c>
      <c r="C95" s="43">
        <v>-1.1991E-2</v>
      </c>
      <c r="D95" s="43">
        <v>-9.0726999999999988E-2</v>
      </c>
      <c r="E95" s="43">
        <v>7.1760000000000001E-3</v>
      </c>
      <c r="F95" s="43">
        <v>-1.2251000000000001E-2</v>
      </c>
      <c r="G95" s="43">
        <v>-1.3762000000000002E-2</v>
      </c>
    </row>
    <row r="96" spans="1:7" x14ac:dyDescent="0.3">
      <c r="A96" s="38">
        <v>46059</v>
      </c>
      <c r="B96" s="43">
        <v>-2.0140000000000002E-3</v>
      </c>
      <c r="C96" s="43">
        <v>1.8471999999999999E-2</v>
      </c>
      <c r="D96" s="43">
        <v>2.6919999999999999E-3</v>
      </c>
      <c r="E96" s="43">
        <v>-8.4800000000000001E-4</v>
      </c>
      <c r="F96" s="43">
        <v>1.9696000000000002E-2</v>
      </c>
      <c r="G96" s="43">
        <v>2.1471000000000001E-2</v>
      </c>
    </row>
    <row r="97" spans="1:7" x14ac:dyDescent="0.3">
      <c r="A97" s="38">
        <v>46062</v>
      </c>
      <c r="B97" s="43">
        <v>4.0679999999999996E-3</v>
      </c>
      <c r="C97" s="43">
        <v>2.0135999999999998E-2</v>
      </c>
      <c r="D97" s="43">
        <v>6.9459999999999994E-2</v>
      </c>
      <c r="E97" s="43">
        <v>2.934E-3</v>
      </c>
      <c r="F97" s="43">
        <v>4.6909999999999999E-3</v>
      </c>
      <c r="G97" s="43">
        <v>7.672E-3</v>
      </c>
    </row>
    <row r="98" spans="1:7" x14ac:dyDescent="0.3">
      <c r="A98" s="38">
        <v>46063</v>
      </c>
      <c r="B98" s="43">
        <v>6.6190000000000008E-3</v>
      </c>
      <c r="C98" s="43">
        <v>-9.325E-3</v>
      </c>
      <c r="D98" s="43">
        <v>-2.2507000000000003E-2</v>
      </c>
      <c r="E98" s="43">
        <v>-7.0720000000000002E-3</v>
      </c>
      <c r="F98" s="43">
        <v>-3.3040000000000001E-3</v>
      </c>
      <c r="G98" s="43">
        <v>-5.5600000000000007E-3</v>
      </c>
    </row>
    <row r="99" spans="1:7" x14ac:dyDescent="0.3">
      <c r="A99" s="38">
        <v>46064</v>
      </c>
      <c r="B99" s="43">
        <v>-1.2130000000000001E-3</v>
      </c>
      <c r="C99" s="43">
        <v>1.355E-2</v>
      </c>
      <c r="D99" s="43">
        <v>4.4080000000000001E-2</v>
      </c>
      <c r="E99" s="43">
        <v>-1.0567999999999999E-2</v>
      </c>
      <c r="F99" s="43">
        <v>-4.8999999999999998E-5</v>
      </c>
      <c r="G99" s="43">
        <v>2.9299999999999999E-3</v>
      </c>
    </row>
    <row r="100" spans="1:7" x14ac:dyDescent="0.3">
      <c r="A100" s="38">
        <v>46065</v>
      </c>
      <c r="B100" s="43">
        <v>-1.14E-3</v>
      </c>
      <c r="C100" s="43">
        <v>-2.9162E-2</v>
      </c>
      <c r="D100" s="43">
        <v>-9.8001000000000005E-2</v>
      </c>
      <c r="E100" s="43">
        <v>-7.8519999999999996E-3</v>
      </c>
      <c r="F100" s="43">
        <v>-1.5661000000000001E-2</v>
      </c>
      <c r="G100" s="43">
        <v>-2.0381999999999997E-2</v>
      </c>
    </row>
    <row r="101" spans="1:7" x14ac:dyDescent="0.3">
      <c r="A101" s="38">
        <v>46066</v>
      </c>
      <c r="B101" s="43">
        <v>-6.4100000000000008E-4</v>
      </c>
      <c r="C101" s="43">
        <v>1.9965E-2</v>
      </c>
      <c r="D101" s="43">
        <v>3.0511E-2</v>
      </c>
      <c r="E101" s="43">
        <v>-2.9230000000000003E-3</v>
      </c>
      <c r="F101" s="43">
        <v>4.9899999999999999E-4</v>
      </c>
      <c r="G101" s="43">
        <v>1.828E-3</v>
      </c>
    </row>
    <row r="102" spans="1:7" x14ac:dyDescent="0.3">
      <c r="A102" s="38">
        <v>46069</v>
      </c>
      <c r="B102" s="43">
        <v>-8.2999999999999998E-5</v>
      </c>
      <c r="C102" s="43">
        <v>0</v>
      </c>
      <c r="D102" s="43">
        <v>0</v>
      </c>
      <c r="E102" s="43">
        <v>-2.7500000000000002E-4</v>
      </c>
      <c r="F102" s="43">
        <v>0</v>
      </c>
      <c r="G102" s="43">
        <v>0</v>
      </c>
    </row>
    <row r="103" spans="1:7" x14ac:dyDescent="0.3">
      <c r="A103" s="38">
        <v>46070</v>
      </c>
      <c r="B103" s="43">
        <v>-1.4810000000000001E-3</v>
      </c>
      <c r="C103" s="43">
        <v>-2.7698E-2</v>
      </c>
      <c r="D103" s="43">
        <v>-5.6570000000000002E-2</v>
      </c>
      <c r="E103" s="43">
        <v>5.4330000000000003E-3</v>
      </c>
      <c r="F103" s="43">
        <v>1.031E-3</v>
      </c>
      <c r="G103" s="43">
        <v>-1.2590000000000001E-3</v>
      </c>
    </row>
    <row r="104" spans="1:7" x14ac:dyDescent="0.3">
      <c r="A104" s="38">
        <v>46071</v>
      </c>
      <c r="B104" s="43">
        <v>1.66E-4</v>
      </c>
      <c r="C104" s="43">
        <v>2.1217E-2</v>
      </c>
      <c r="D104" s="43">
        <v>5.5305E-2</v>
      </c>
      <c r="E104" s="43">
        <v>-2.9949999999999998E-3</v>
      </c>
      <c r="F104" s="43">
        <v>5.5659999999999998E-3</v>
      </c>
      <c r="G104" s="43">
        <v>7.986E-3</v>
      </c>
    </row>
    <row r="105" spans="1:7" x14ac:dyDescent="0.3">
      <c r="A105" s="38">
        <v>46072</v>
      </c>
      <c r="B105" s="43">
        <v>-5.3169999999999997E-3</v>
      </c>
      <c r="C105" s="43">
        <v>-2.1260000000000003E-3</v>
      </c>
      <c r="D105" s="43">
        <v>7.2199999999999999E-4</v>
      </c>
      <c r="E105" s="43">
        <v>1.0082000000000001E-2</v>
      </c>
      <c r="F105" s="43">
        <v>-2.8219999999999999E-3</v>
      </c>
      <c r="G105" s="43">
        <v>-4.078E-3</v>
      </c>
    </row>
    <row r="106" spans="1:7" x14ac:dyDescent="0.3">
      <c r="A106" s="38">
        <v>46073</v>
      </c>
      <c r="B106" s="43">
        <v>-1.671E-3</v>
      </c>
      <c r="C106" s="43">
        <v>1.6760999999999998E-2</v>
      </c>
      <c r="D106" s="43">
        <v>6.0826000000000005E-2</v>
      </c>
      <c r="E106" s="43">
        <v>3.019E-3</v>
      </c>
      <c r="F106" s="43">
        <v>6.9399999999999991E-3</v>
      </c>
      <c r="G106" s="43">
        <v>8.6820000000000005E-3</v>
      </c>
    </row>
    <row r="107" spans="1:7" x14ac:dyDescent="0.3">
      <c r="A107" s="38">
        <v>46076</v>
      </c>
      <c r="B107" s="43">
        <v>5.574E-3</v>
      </c>
      <c r="C107" s="43">
        <v>2.8739000000000001E-2</v>
      </c>
      <c r="D107" s="43">
        <v>5.1529999999999992E-2</v>
      </c>
      <c r="E107" s="43">
        <v>-5.2910000000000006E-3</v>
      </c>
      <c r="F107" s="43">
        <v>-1.0385999999999999E-2</v>
      </c>
      <c r="G107" s="43">
        <v>-1.2140999999999999E-2</v>
      </c>
    </row>
    <row r="108" spans="1:7" x14ac:dyDescent="0.3">
      <c r="A108" s="38">
        <v>46077</v>
      </c>
      <c r="B108" s="43">
        <v>-3.4560000000000003E-3</v>
      </c>
      <c r="C108" s="43">
        <v>-9.3950000000000006E-3</v>
      </c>
      <c r="D108" s="43">
        <v>1.0794999999999999E-2</v>
      </c>
      <c r="E108" s="43">
        <v>1.918E-3</v>
      </c>
      <c r="F108" s="43">
        <v>7.6519999999999999E-3</v>
      </c>
      <c r="G108" s="43">
        <v>1.085E-2</v>
      </c>
    </row>
    <row r="109" spans="1:7" x14ac:dyDescent="0.3">
      <c r="A109" s="38">
        <v>46078</v>
      </c>
      <c r="B109" s="43">
        <v>-1.578E-3</v>
      </c>
      <c r="C109" s="43">
        <v>9.8139999999999998E-3</v>
      </c>
      <c r="D109" s="43">
        <v>3.9813999999999995E-2</v>
      </c>
      <c r="E109" s="43">
        <v>8.0510000000000009E-3</v>
      </c>
      <c r="F109" s="43">
        <v>8.1359999999999991E-3</v>
      </c>
      <c r="G109" s="43">
        <v>1.4093E-2</v>
      </c>
    </row>
    <row r="110" spans="1:7" x14ac:dyDescent="0.3">
      <c r="A110" s="38">
        <v>46079</v>
      </c>
      <c r="B110" s="43">
        <v>3.3909999999999999E-3</v>
      </c>
      <c r="C110" s="43">
        <v>-5.7430000000000007E-3</v>
      </c>
      <c r="D110" s="43">
        <v>-4.3337000000000001E-2</v>
      </c>
      <c r="E110" s="43">
        <v>2.0530000000000001E-3</v>
      </c>
      <c r="F110" s="43">
        <v>-5.3659999999999992E-3</v>
      </c>
      <c r="G110" s="43">
        <v>-1.1634E-2</v>
      </c>
    </row>
    <row r="111" spans="1:7" x14ac:dyDescent="0.3">
      <c r="A111" s="38">
        <v>46080</v>
      </c>
      <c r="B111" s="43">
        <v>-1.0269999999999999E-3</v>
      </c>
      <c r="C111" s="43">
        <v>1.0431999999999999E-2</v>
      </c>
      <c r="D111" s="43">
        <v>6.5335000000000004E-2</v>
      </c>
      <c r="E111" s="43">
        <v>-2.183E-3</v>
      </c>
      <c r="F111" s="43">
        <v>-4.339E-3</v>
      </c>
      <c r="G111" s="43">
        <v>-2.9689999999999999E-3</v>
      </c>
    </row>
    <row r="112" spans="1:7" x14ac:dyDescent="0.3">
      <c r="A112" s="38">
        <v>46083</v>
      </c>
      <c r="B112" s="43">
        <v>-3.6919999999999995E-3</v>
      </c>
      <c r="C112" s="43">
        <v>1.2217E-2</v>
      </c>
      <c r="D112" s="43">
        <v>-4.7453000000000002E-2</v>
      </c>
      <c r="E112" s="43">
        <v>4.9659999999999999E-3</v>
      </c>
      <c r="F112" s="43">
        <v>3.9800000000000002E-4</v>
      </c>
      <c r="G112" s="43">
        <v>1.305E-3</v>
      </c>
    </row>
    <row r="113" spans="1:7" x14ac:dyDescent="0.3">
      <c r="A113" s="38">
        <v>46084</v>
      </c>
      <c r="B113" s="43">
        <v>-5.2869999999999992E-3</v>
      </c>
      <c r="C113" s="43">
        <v>-3.5319999999999997E-2</v>
      </c>
      <c r="D113" s="43">
        <v>-6.0724E-2</v>
      </c>
      <c r="E113" s="43">
        <v>3.9839999999999997E-3</v>
      </c>
      <c r="F113" s="43">
        <v>-9.444000000000001E-3</v>
      </c>
      <c r="G113" s="43">
        <v>-1.0904E-2</v>
      </c>
    </row>
    <row r="114" spans="1:7" x14ac:dyDescent="0.3">
      <c r="A114" s="38">
        <v>46085</v>
      </c>
      <c r="B114" s="43">
        <v>-7.2690000000000003E-3</v>
      </c>
      <c r="C114" s="43">
        <v>2.506E-3</v>
      </c>
      <c r="D114" s="43">
        <v>-3.4970000000000001E-3</v>
      </c>
      <c r="E114" s="43">
        <v>3.2810000000000001E-3</v>
      </c>
      <c r="F114" s="43">
        <v>7.7559999999999999E-3</v>
      </c>
      <c r="G114" s="43">
        <v>1.5113000000000001E-2</v>
      </c>
    </row>
    <row r="115" spans="1:7" x14ac:dyDescent="0.3">
      <c r="A115" s="38">
        <v>46086</v>
      </c>
      <c r="B115" s="43">
        <v>2.013E-3</v>
      </c>
      <c r="C115" s="43">
        <v>-1.0722000000000001E-2</v>
      </c>
      <c r="D115" s="43">
        <v>-1.1448E-2</v>
      </c>
      <c r="E115" s="43">
        <v>-5.0070000000000002E-3</v>
      </c>
      <c r="F115" s="43">
        <v>-5.6470000000000001E-3</v>
      </c>
      <c r="G115" s="43">
        <v>-2.9199999999999999E-3</v>
      </c>
    </row>
    <row r="116" spans="1:7" x14ac:dyDescent="0.3">
      <c r="A116" s="38">
        <v>46087</v>
      </c>
      <c r="B116" s="43">
        <v>-2.3680000000000003E-3</v>
      </c>
      <c r="C116" s="43">
        <v>1.5952000000000001E-2</v>
      </c>
      <c r="D116" s="43">
        <v>2.6062999999999999E-2</v>
      </c>
      <c r="E116" s="43">
        <v>3.5099999999999997E-3</v>
      </c>
      <c r="F116" s="43">
        <v>-1.3277000000000001E-2</v>
      </c>
      <c r="G116" s="43">
        <v>-1.5082999999999999E-2</v>
      </c>
    </row>
    <row r="117" spans="1:7" x14ac:dyDescent="0.3">
      <c r="A117" s="38">
        <v>46090</v>
      </c>
      <c r="B117" s="43">
        <v>-7.306E-3</v>
      </c>
      <c r="C117" s="43">
        <v>-1.061E-2</v>
      </c>
      <c r="D117" s="43">
        <v>2.5769999999999999E-3</v>
      </c>
      <c r="E117" s="43">
        <v>5.6689999999999996E-3</v>
      </c>
      <c r="F117" s="43">
        <v>8.3040000000000006E-3</v>
      </c>
      <c r="G117" s="43">
        <v>1.3157E-2</v>
      </c>
    </row>
    <row r="118" spans="1:7" x14ac:dyDescent="0.3">
      <c r="A118" s="38">
        <v>46091</v>
      </c>
      <c r="B118" s="43">
        <v>8.1550000000000008E-3</v>
      </c>
      <c r="C118" s="43">
        <v>2.7143E-2</v>
      </c>
      <c r="D118" s="43">
        <v>6.0107999999999995E-2</v>
      </c>
      <c r="E118" s="43">
        <v>-3.6549999999999998E-3</v>
      </c>
      <c r="F118" s="43">
        <v>-2.1349999999999997E-3</v>
      </c>
      <c r="G118" s="43">
        <v>-4.3200000000000004E-4</v>
      </c>
    </row>
    <row r="119" spans="1:7" x14ac:dyDescent="0.3">
      <c r="A119" s="38">
        <v>46092</v>
      </c>
      <c r="B119" s="43">
        <v>-5.1099999999999995E-4</v>
      </c>
      <c r="C119" s="43">
        <v>-1.1913E-2</v>
      </c>
      <c r="D119" s="43">
        <v>-4.5103999999999998E-2</v>
      </c>
      <c r="E119" s="43">
        <v>1.6850000000000001E-3</v>
      </c>
      <c r="F119" s="43">
        <v>-8.3799999999999999E-4</v>
      </c>
      <c r="G119" s="43">
        <v>3.4200000000000002E-4</v>
      </c>
    </row>
    <row r="120" spans="1:7" x14ac:dyDescent="0.3">
      <c r="A120" s="38">
        <v>46093</v>
      </c>
      <c r="B120" s="43">
        <v>-5.8640000000000003E-3</v>
      </c>
      <c r="C120" s="43">
        <v>-9.9860000000000001E-3</v>
      </c>
      <c r="D120" s="43">
        <v>-4.6439999999999997E-3</v>
      </c>
      <c r="E120" s="43">
        <v>6.0780000000000001E-3</v>
      </c>
      <c r="F120" s="43">
        <v>-1.5227999999999998E-2</v>
      </c>
      <c r="G120" s="43">
        <v>-1.7281000000000001E-2</v>
      </c>
    </row>
    <row r="121" spans="1:7" x14ac:dyDescent="0.3">
      <c r="A121" s="38">
        <v>46094</v>
      </c>
      <c r="B121" s="43">
        <v>-1.867E-3</v>
      </c>
      <c r="C121" s="43">
        <v>-1.2373E-2</v>
      </c>
      <c r="D121" s="43">
        <v>-4.4359999999999997E-2</v>
      </c>
      <c r="E121" s="43">
        <v>8.2299999999999995E-4</v>
      </c>
      <c r="F121" s="43">
        <v>-6.0590000000000001E-3</v>
      </c>
      <c r="G121" s="43">
        <v>-6.2300000000000003E-3</v>
      </c>
    </row>
    <row r="122" spans="1:7" x14ac:dyDescent="0.3">
      <c r="A122" s="38">
        <v>46097</v>
      </c>
      <c r="B122" s="43">
        <v>-7.5129999999999997E-3</v>
      </c>
      <c r="C122" s="43">
        <v>-1.1578E-2</v>
      </c>
      <c r="D122" s="43">
        <v>-8.0459999999999993E-3</v>
      </c>
      <c r="E122" s="43">
        <v>2.274E-3</v>
      </c>
      <c r="F122" s="43">
        <v>1.0130999999999999E-2</v>
      </c>
      <c r="G122" s="43">
        <v>1.1263E-2</v>
      </c>
    </row>
    <row r="123" spans="1:7" x14ac:dyDescent="0.3">
      <c r="A123" s="38">
        <v>46098</v>
      </c>
      <c r="B123" s="43">
        <v>5.6350000000000003E-3</v>
      </c>
      <c r="C123" s="43">
        <v>1.4019999999999998E-3</v>
      </c>
      <c r="D123" s="43">
        <v>-9.1319999999999995E-3</v>
      </c>
      <c r="E123" s="43">
        <v>-2.9020000000000001E-3</v>
      </c>
      <c r="F123" s="43">
        <v>2.4940000000000001E-3</v>
      </c>
      <c r="G123" s="43">
        <v>5.0729999999999994E-3</v>
      </c>
    </row>
    <row r="124" spans="1:7" x14ac:dyDescent="0.3">
      <c r="A124" s="38">
        <v>46099</v>
      </c>
      <c r="B124" s="43">
        <v>3.473E-3</v>
      </c>
      <c r="C124" s="43">
        <v>-2.2216E-2</v>
      </c>
      <c r="D124" s="43">
        <v>-2.8818999999999997E-2</v>
      </c>
      <c r="E124" s="43">
        <v>-1.358E-3</v>
      </c>
      <c r="F124" s="43">
        <v>-1.3608E-2</v>
      </c>
      <c r="G124" s="43">
        <v>-1.4338999999999999E-2</v>
      </c>
    </row>
    <row r="125" spans="1:7" x14ac:dyDescent="0.3">
      <c r="A125" s="38">
        <v>46100</v>
      </c>
      <c r="B125" s="43">
        <v>-6.5000000000000006E-3</v>
      </c>
      <c r="C125" s="43">
        <v>-5.9142E-2</v>
      </c>
      <c r="D125" s="43">
        <v>-8.2032000000000008E-2</v>
      </c>
      <c r="E125" s="43">
        <v>5.7020000000000005E-3</v>
      </c>
      <c r="F125" s="43">
        <v>-2.7489999999999997E-3</v>
      </c>
      <c r="G125" s="43">
        <v>-2.8579999999999999E-3</v>
      </c>
    </row>
    <row r="126" spans="1:7" x14ac:dyDescent="0.3">
      <c r="A126" s="38">
        <v>46101</v>
      </c>
      <c r="B126" s="43">
        <v>9.8640000000000012E-3</v>
      </c>
      <c r="C126" s="43">
        <v>-6.5859999999999998E-3</v>
      </c>
      <c r="D126" s="43">
        <v>-2.1748E-2</v>
      </c>
      <c r="E126" s="43">
        <v>-1.1709000000000001E-2</v>
      </c>
      <c r="F126" s="43">
        <v>-1.5138E-2</v>
      </c>
      <c r="G126" s="43">
        <v>-1.8769000000000001E-2</v>
      </c>
    </row>
    <row r="127" spans="1:7" x14ac:dyDescent="0.3">
      <c r="A127" s="38">
        <v>46104</v>
      </c>
      <c r="B127" s="43">
        <v>-1.503E-3</v>
      </c>
      <c r="C127" s="43">
        <v>-3.6386000000000002E-2</v>
      </c>
      <c r="D127" s="43">
        <v>-4.4840000000000001E-3</v>
      </c>
      <c r="E127" s="43">
        <v>8.2950000000000003E-3</v>
      </c>
      <c r="F127" s="43">
        <v>1.1453E-2</v>
      </c>
      <c r="G127" s="43">
        <v>1.2153000000000001E-2</v>
      </c>
    </row>
    <row r="128" spans="1:7" x14ac:dyDescent="0.3">
      <c r="A128" s="38">
        <v>46105</v>
      </c>
      <c r="B128" s="43">
        <v>4.0629999999999998E-3</v>
      </c>
      <c r="C128" s="43">
        <v>-1.09E-3</v>
      </c>
      <c r="D128" s="43">
        <v>3.2590000000000002E-3</v>
      </c>
      <c r="E128" s="43">
        <v>-4.7410000000000004E-3</v>
      </c>
      <c r="F128" s="43">
        <v>-3.7430000000000002E-3</v>
      </c>
      <c r="G128" s="43">
        <v>-7.6949999999999996E-3</v>
      </c>
    </row>
    <row r="129" spans="1:7" x14ac:dyDescent="0.3">
      <c r="A129" s="38">
        <v>46106</v>
      </c>
      <c r="B129" s="43">
        <v>6.4999999999999997E-4</v>
      </c>
      <c r="C129" s="43">
        <v>3.4209999999999997E-2</v>
      </c>
      <c r="D129" s="43">
        <v>4.4561999999999997E-2</v>
      </c>
      <c r="E129" s="43">
        <v>1.5079999999999998E-3</v>
      </c>
      <c r="F129" s="43">
        <v>5.4190000000000002E-3</v>
      </c>
      <c r="G129" s="43">
        <v>6.6879999999999995E-3</v>
      </c>
    </row>
    <row r="130" spans="1:7" x14ac:dyDescent="0.3">
      <c r="A130" s="38">
        <v>46107</v>
      </c>
      <c r="B130" s="43">
        <v>-4.5779999999999996E-3</v>
      </c>
      <c r="C130" s="43">
        <v>-3.8309000000000003E-2</v>
      </c>
      <c r="D130" s="43">
        <v>-6.4813999999999997E-2</v>
      </c>
      <c r="E130" s="43">
        <v>4.1960000000000001E-3</v>
      </c>
      <c r="F130" s="43">
        <v>-1.7405999999999998E-2</v>
      </c>
      <c r="G130" s="43">
        <v>-2.3837999999999998E-2</v>
      </c>
    </row>
    <row r="131" spans="1:7" x14ac:dyDescent="0.3">
      <c r="A131" s="38">
        <v>46108</v>
      </c>
      <c r="B131" s="43">
        <v>-2.284E-3</v>
      </c>
      <c r="C131" s="43">
        <v>2.6625999999999997E-2</v>
      </c>
      <c r="D131" s="43">
        <v>2.7692999999999999E-2</v>
      </c>
      <c r="E131" s="43">
        <v>2.0080000000000002E-3</v>
      </c>
      <c r="F131" s="43">
        <v>-1.6722000000000001E-2</v>
      </c>
      <c r="G131" s="43">
        <v>-1.9257E-2</v>
      </c>
    </row>
    <row r="132" spans="1:7" x14ac:dyDescent="0.3">
      <c r="A132" s="38">
        <v>46111</v>
      </c>
      <c r="B132" s="43">
        <v>-3.735E-3</v>
      </c>
      <c r="C132" s="43">
        <v>7.5690000000000002E-3</v>
      </c>
      <c r="D132" s="43">
        <v>1.1201000000000001E-2</v>
      </c>
      <c r="E132" s="43">
        <v>3.3189999999999999E-3</v>
      </c>
      <c r="F132" s="43">
        <v>-3.9459999999999999E-3</v>
      </c>
      <c r="G132" s="43">
        <v>-7.7549999999999997E-3</v>
      </c>
    </row>
    <row r="133" spans="1:7" x14ac:dyDescent="0.3">
      <c r="A133" s="38">
        <v>46112</v>
      </c>
      <c r="B133" s="43">
        <v>-2.7850000000000001E-3</v>
      </c>
      <c r="C133" s="43">
        <v>2.6867000000000002E-2</v>
      </c>
      <c r="D133" s="43">
        <v>6.2084E-2</v>
      </c>
      <c r="E133" s="43">
        <v>-2.4529999999999999E-3</v>
      </c>
      <c r="F133" s="43">
        <v>2.9131000000000001E-2</v>
      </c>
      <c r="G133" s="43">
        <v>3.4279000000000004E-2</v>
      </c>
    </row>
    <row r="134" spans="1:7" x14ac:dyDescent="0.3">
      <c r="A134" s="38">
        <v>46113</v>
      </c>
      <c r="B134" s="43">
        <v>9.9649999999999999E-3</v>
      </c>
      <c r="C134" s="43">
        <v>2.9176000000000001E-2</v>
      </c>
      <c r="D134" s="43">
        <v>1.5758000000000001E-2</v>
      </c>
      <c r="E134" s="43">
        <v>-7.8949999999999992E-3</v>
      </c>
      <c r="F134" s="43">
        <v>7.169E-3</v>
      </c>
      <c r="G134" s="43">
        <v>1.1786000000000001E-2</v>
      </c>
    </row>
    <row r="135" spans="1:7" x14ac:dyDescent="0.3">
      <c r="A135" s="38">
        <v>46114</v>
      </c>
      <c r="B135" s="43">
        <v>1.4139999999999999E-3</v>
      </c>
      <c r="C135" s="43">
        <v>-2.7533999999999999E-2</v>
      </c>
      <c r="D135" s="43">
        <v>-4.1283E-2</v>
      </c>
      <c r="E135" s="43">
        <v>6.87E-4</v>
      </c>
      <c r="F135" s="43">
        <v>1.121E-3</v>
      </c>
      <c r="G135" s="43">
        <v>1.0630000000000001E-3</v>
      </c>
    </row>
    <row r="136" spans="1:7" x14ac:dyDescent="0.3">
      <c r="A136" s="38">
        <v>46115</v>
      </c>
      <c r="B136" s="43">
        <v>-4.2129999999999997E-3</v>
      </c>
      <c r="C136" s="43">
        <v>0</v>
      </c>
      <c r="D136" s="43">
        <v>0</v>
      </c>
      <c r="E136" s="43">
        <v>5.0600000000000003E-3</v>
      </c>
      <c r="F136" s="43">
        <v>0</v>
      </c>
      <c r="G136" s="43">
        <v>0</v>
      </c>
    </row>
    <row r="137" spans="1:7" x14ac:dyDescent="0.3">
      <c r="A137" s="38">
        <v>46118</v>
      </c>
      <c r="B137" s="43">
        <v>-2.751E-3</v>
      </c>
      <c r="C137" s="43">
        <v>1.139E-3</v>
      </c>
      <c r="D137" s="43">
        <v>-1.0169999999999999E-3</v>
      </c>
      <c r="E137" s="43">
        <v>1.812E-3</v>
      </c>
      <c r="F137" s="43">
        <v>4.4269999999999995E-3</v>
      </c>
      <c r="G137" s="43">
        <v>6.0980000000000001E-3</v>
      </c>
    </row>
    <row r="138" spans="1:7" x14ac:dyDescent="0.3">
      <c r="A138" s="38">
        <v>46119</v>
      </c>
      <c r="B138" s="43">
        <v>2.712E-3</v>
      </c>
      <c r="C138" s="43">
        <v>6.3999999999999997E-5</v>
      </c>
      <c r="D138" s="43">
        <v>-1.1492E-2</v>
      </c>
      <c r="E138" s="43">
        <v>-6.0700000000000001E-4</v>
      </c>
      <c r="F138" s="43">
        <v>7.5899999999999991E-4</v>
      </c>
      <c r="G138" s="43">
        <v>4.2200000000000001E-4</v>
      </c>
    </row>
    <row r="139" spans="1:7" x14ac:dyDescent="0.3">
      <c r="A139" s="38">
        <v>46120</v>
      </c>
      <c r="B139" s="43">
        <v>1.2598E-2</v>
      </c>
      <c r="C139" s="43">
        <v>1.9841000000000001E-2</v>
      </c>
      <c r="D139" s="43">
        <v>4.7309000000000004E-2</v>
      </c>
      <c r="E139" s="43">
        <v>-6.0560000000000006E-3</v>
      </c>
      <c r="F139" s="43">
        <v>2.5081000000000003E-2</v>
      </c>
      <c r="G139" s="43">
        <v>2.8955999999999999E-2</v>
      </c>
    </row>
    <row r="140" spans="1:7" x14ac:dyDescent="0.3">
      <c r="A140" s="38">
        <v>46121</v>
      </c>
      <c r="B140" s="43">
        <v>-2.3319999999999999E-3</v>
      </c>
      <c r="C140" s="43">
        <v>8.9899999999999997E-3</v>
      </c>
      <c r="D140" s="43">
        <v>1.3998E-2</v>
      </c>
      <c r="E140" s="43">
        <v>-4.6600000000000005E-4</v>
      </c>
      <c r="F140" s="43">
        <v>6.1700000000000001E-3</v>
      </c>
      <c r="G140" s="43">
        <v>7.1850000000000004E-3</v>
      </c>
    </row>
    <row r="141" spans="1:7" x14ac:dyDescent="0.3">
      <c r="A141" s="38">
        <v>46122</v>
      </c>
      <c r="B141" s="43">
        <v>2.7360000000000002E-3</v>
      </c>
      <c r="C141" s="43">
        <v>-6.3229999999999996E-3</v>
      </c>
      <c r="D141" s="43">
        <v>6.1600000000000001E-4</v>
      </c>
      <c r="E141" s="43">
        <v>2.9629999999999999E-3</v>
      </c>
      <c r="F141" s="43">
        <v>-1.139E-3</v>
      </c>
      <c r="G141" s="43">
        <v>1.366E-3</v>
      </c>
    </row>
    <row r="142" spans="1:7" x14ac:dyDescent="0.3">
      <c r="A142" s="38">
        <v>46125</v>
      </c>
      <c r="B142" s="43">
        <v>-1.3780000000000001E-3</v>
      </c>
      <c r="C142" s="43">
        <v>-4.0949999999999997E-3</v>
      </c>
      <c r="D142" s="43">
        <v>-1.0495000000000001E-2</v>
      </c>
      <c r="E142" s="43">
        <v>3.5699999999999998E-3</v>
      </c>
      <c r="F142" s="43">
        <v>1.0173000000000001E-2</v>
      </c>
      <c r="G142" s="43">
        <v>1.0645999999999999E-2</v>
      </c>
    </row>
    <row r="143" spans="1:7" x14ac:dyDescent="0.3">
      <c r="A143" s="38">
        <v>46126</v>
      </c>
      <c r="B143" s="43">
        <v>8.0260000000000001E-3</v>
      </c>
      <c r="C143" s="43">
        <v>1.7417000000000002E-2</v>
      </c>
      <c r="D143" s="43">
        <v>5.1215999999999998E-2</v>
      </c>
      <c r="E143" s="43">
        <v>-2.918E-3</v>
      </c>
      <c r="F143" s="43">
        <v>1.1782999999999998E-2</v>
      </c>
      <c r="G143" s="43">
        <v>1.8054000000000001E-2</v>
      </c>
    </row>
    <row r="144" spans="1:7" x14ac:dyDescent="0.3">
      <c r="A144" s="38">
        <v>46127</v>
      </c>
      <c r="B144" s="43">
        <v>2.5959999999999998E-3</v>
      </c>
      <c r="C144" s="43">
        <v>-5.1809999999999998E-3</v>
      </c>
      <c r="D144" s="43">
        <v>1.2600000000000001E-3</v>
      </c>
      <c r="E144" s="43">
        <v>-2.6510000000000001E-3</v>
      </c>
      <c r="F144" s="43">
        <v>7.9760000000000005E-3</v>
      </c>
      <c r="G144" s="43">
        <v>1.4031E-2</v>
      </c>
    </row>
    <row r="145" spans="1:7" x14ac:dyDescent="0.3">
      <c r="A145" s="38">
        <v>46128</v>
      </c>
      <c r="B145" s="43">
        <v>8.2699999999999994E-4</v>
      </c>
      <c r="C145" s="43">
        <v>-3.0420000000000004E-3</v>
      </c>
      <c r="D145" s="43">
        <v>-1.1132999999999999E-2</v>
      </c>
      <c r="E145" s="43">
        <v>1.07E-4</v>
      </c>
      <c r="F145" s="43">
        <v>2.6099999999999999E-3</v>
      </c>
      <c r="G145" s="43">
        <v>4.901E-3</v>
      </c>
    </row>
    <row r="146" spans="1:7" x14ac:dyDescent="0.3">
      <c r="A146" s="38">
        <v>46129</v>
      </c>
      <c r="B146" s="43">
        <v>-2.2389999999999997E-3</v>
      </c>
      <c r="C146" s="43">
        <v>1.5087999999999999E-2</v>
      </c>
      <c r="D146" s="43">
        <v>3.9843999999999997E-2</v>
      </c>
      <c r="E146" s="43">
        <v>2.431E-3</v>
      </c>
      <c r="F146" s="43">
        <v>1.204E-2</v>
      </c>
      <c r="G146" s="43">
        <v>1.2889999999999999E-2</v>
      </c>
    </row>
    <row r="147" spans="1:7" x14ac:dyDescent="0.3">
      <c r="A147" s="38">
        <v>46132</v>
      </c>
      <c r="B147" s="43">
        <v>-3.522E-3</v>
      </c>
      <c r="C147" s="43">
        <v>-1.0499000000000001E-2</v>
      </c>
      <c r="D147" s="43">
        <v>-2.1863E-2</v>
      </c>
      <c r="E147" s="43">
        <v>-2.14E-4</v>
      </c>
      <c r="F147" s="43">
        <v>-2.3739999999999998E-3</v>
      </c>
      <c r="G147" s="43">
        <v>-3.078E-3</v>
      </c>
    </row>
    <row r="148" spans="1:7" x14ac:dyDescent="0.3">
      <c r="A148" s="38">
        <v>46133</v>
      </c>
      <c r="B148" s="43">
        <v>3.6770000000000001E-3</v>
      </c>
      <c r="C148" s="43">
        <v>-2.2511E-2</v>
      </c>
      <c r="D148" s="43">
        <v>-4.4276999999999997E-2</v>
      </c>
      <c r="E148" s="43">
        <v>-1.9919999999999998E-3</v>
      </c>
      <c r="F148" s="43">
        <v>-6.3480000000000003E-3</v>
      </c>
      <c r="G148" s="43">
        <v>-4.1700000000000001E-3</v>
      </c>
    </row>
    <row r="149" spans="1:7" x14ac:dyDescent="0.3">
      <c r="A149" s="38">
        <v>46134</v>
      </c>
      <c r="B149" s="43">
        <v>-3.4060000000000002E-3</v>
      </c>
      <c r="C149" s="43">
        <v>7.2579999999999997E-3</v>
      </c>
      <c r="D149" s="43">
        <v>1.9394999999999999E-2</v>
      </c>
      <c r="E149" s="43">
        <v>3.3300000000000001E-3</v>
      </c>
      <c r="F149" s="43">
        <v>1.0460000000000001E-2</v>
      </c>
      <c r="G149" s="43">
        <v>1.7289000000000002E-2</v>
      </c>
    </row>
    <row r="150" spans="1:7" x14ac:dyDescent="0.3">
      <c r="A150" s="38">
        <v>46135</v>
      </c>
      <c r="B150" s="43">
        <v>-3.2540000000000004E-3</v>
      </c>
      <c r="C150" s="43">
        <v>-5.79E-3</v>
      </c>
      <c r="D150" s="43">
        <v>-3.1171000000000001E-2</v>
      </c>
      <c r="E150" s="43">
        <v>7.2199999999999999E-4</v>
      </c>
      <c r="F150" s="43">
        <v>-4.1330000000000004E-3</v>
      </c>
      <c r="G150" s="43">
        <v>-5.7410000000000004E-3</v>
      </c>
    </row>
    <row r="151" spans="1:7" x14ac:dyDescent="0.3">
      <c r="A151" s="38">
        <v>46136</v>
      </c>
      <c r="B151" s="43">
        <v>-1.8929999999999999E-3</v>
      </c>
      <c r="C151" s="43">
        <v>3.656E-3</v>
      </c>
      <c r="D151" s="43">
        <v>1.2164999999999999E-2</v>
      </c>
      <c r="E151" s="43">
        <v>1.6239999999999998E-3</v>
      </c>
      <c r="F151" s="43">
        <v>7.9740000000000002E-3</v>
      </c>
      <c r="G151" s="43">
        <v>1.9453999999999999E-2</v>
      </c>
    </row>
    <row r="152" spans="1:7" x14ac:dyDescent="0.3">
      <c r="A152" s="38">
        <v>46139</v>
      </c>
      <c r="B152" s="43">
        <v>1.9320000000000001E-3</v>
      </c>
      <c r="C152" s="43">
        <v>-9.9319999999999999E-3</v>
      </c>
      <c r="D152" s="43">
        <v>-1.8067E-2</v>
      </c>
      <c r="E152" s="43">
        <v>-1.07E-3</v>
      </c>
      <c r="F152" s="43">
        <v>1.232E-3</v>
      </c>
      <c r="G152" s="43">
        <v>7.400000000000001E-5</v>
      </c>
    </row>
    <row r="153" spans="1:7" x14ac:dyDescent="0.3">
      <c r="A153" s="38">
        <v>46140</v>
      </c>
      <c r="B153" s="43">
        <v>1.454E-3</v>
      </c>
      <c r="C153" s="43">
        <v>-1.7944999999999999E-2</v>
      </c>
      <c r="D153" s="43">
        <v>-2.3972000000000004E-2</v>
      </c>
      <c r="E153" s="43">
        <v>-1.372E-3</v>
      </c>
      <c r="F153" s="43">
        <v>-4.8939999999999999E-3</v>
      </c>
      <c r="G153" s="43">
        <v>-1.0132E-2</v>
      </c>
    </row>
    <row r="154" spans="1:7" x14ac:dyDescent="0.3">
      <c r="A154" s="38">
        <v>46141</v>
      </c>
      <c r="B154" s="43">
        <v>-4.8000000000000001E-4</v>
      </c>
      <c r="C154" s="43">
        <v>-1.0083999999999999E-2</v>
      </c>
      <c r="D154" s="43">
        <v>-2.2348E-2</v>
      </c>
      <c r="E154" s="43">
        <v>1.224E-3</v>
      </c>
      <c r="F154" s="43">
        <v>-3.9899999999999999E-4</v>
      </c>
      <c r="G154" s="43">
        <v>5.8440000000000002E-3</v>
      </c>
    </row>
    <row r="155" spans="1:7" x14ac:dyDescent="0.3">
      <c r="A155" s="38">
        <v>46142</v>
      </c>
      <c r="B155" s="43">
        <v>-2.8279999999999998E-3</v>
      </c>
      <c r="C155" s="43">
        <v>1.5290999999999999E-2</v>
      </c>
      <c r="D155" s="43">
        <v>2.7456000000000001E-2</v>
      </c>
      <c r="E155" s="43">
        <v>3.9610000000000001E-3</v>
      </c>
      <c r="F155" s="43">
        <v>1.0238000000000001E-2</v>
      </c>
      <c r="G155" s="43">
        <v>9.7520000000000003E-3</v>
      </c>
    </row>
    <row r="156" spans="1:7" x14ac:dyDescent="0.3">
      <c r="A156" s="38">
        <v>46143</v>
      </c>
      <c r="B156" s="43">
        <v>3.8E-3</v>
      </c>
      <c r="C156" s="43">
        <v>3.2940000000000001E-3</v>
      </c>
      <c r="D156" s="43">
        <v>3.2869000000000002E-2</v>
      </c>
      <c r="E156" s="43">
        <v>-2.0015000000000002E-2</v>
      </c>
      <c r="F156" s="43">
        <v>2.928E-3</v>
      </c>
      <c r="G156" s="43">
        <v>9.4070000000000004E-3</v>
      </c>
    </row>
    <row r="157" spans="1:7" x14ac:dyDescent="0.3">
      <c r="A157" s="38">
        <v>46146</v>
      </c>
      <c r="B157" s="43">
        <v>-2.1100000000000001E-4</v>
      </c>
      <c r="C157" s="43">
        <v>-2.3845000000000002E-2</v>
      </c>
      <c r="D157" s="43">
        <v>-3.7906000000000002E-2</v>
      </c>
      <c r="E157" s="43">
        <v>-8.4099999999999995E-4</v>
      </c>
      <c r="F157" s="43">
        <v>-4.0619999999999996E-3</v>
      </c>
      <c r="G157" s="43">
        <v>-2.1129999999999999E-3</v>
      </c>
    </row>
    <row r="158" spans="1:7" x14ac:dyDescent="0.3">
      <c r="A158" s="38">
        <v>46147</v>
      </c>
      <c r="B158" s="43">
        <v>-2.9580000000000001E-3</v>
      </c>
      <c r="C158" s="43">
        <v>8.0320000000000009E-3</v>
      </c>
      <c r="D158" s="43">
        <v>4.9299999999999995E-4</v>
      </c>
      <c r="E158" s="43">
        <v>2.2190000000000001E-3</v>
      </c>
      <c r="F158" s="43">
        <v>8.1200000000000005E-3</v>
      </c>
      <c r="G158" s="43">
        <v>1.3136000000000002E-2</v>
      </c>
    </row>
    <row r="159" spans="1:7" x14ac:dyDescent="0.3">
      <c r="A159" s="38">
        <v>46148</v>
      </c>
      <c r="B159" s="43">
        <v>2.0379999999999999E-3</v>
      </c>
      <c r="C159" s="43">
        <v>2.7678999999999999E-2</v>
      </c>
      <c r="D159" s="43">
        <v>5.0651000000000002E-2</v>
      </c>
      <c r="E159" s="43">
        <v>3.0730000000000002E-3</v>
      </c>
      <c r="F159" s="43">
        <v>1.4588E-2</v>
      </c>
      <c r="G159" s="43">
        <v>2.085E-2</v>
      </c>
    </row>
    <row r="160" spans="1:7" x14ac:dyDescent="0.3">
      <c r="A160" s="38">
        <v>46149</v>
      </c>
      <c r="B160" s="43">
        <v>2.702E-3</v>
      </c>
      <c r="C160" s="43">
        <v>3.8229999999999996E-3</v>
      </c>
      <c r="D160" s="43">
        <v>3.7624999999999999E-2</v>
      </c>
      <c r="E160" s="43">
        <v>-7.4139999999999996E-3</v>
      </c>
      <c r="F160" s="43">
        <v>-3.8030000000000004E-3</v>
      </c>
      <c r="G160" s="43">
        <v>-1.232E-3</v>
      </c>
    </row>
    <row r="161" spans="1:7" x14ac:dyDescent="0.3">
      <c r="A161" s="38">
        <v>46150</v>
      </c>
      <c r="B161" s="43">
        <v>-1.3489999999999999E-3</v>
      </c>
      <c r="C161" s="43">
        <v>4.3830000000000006E-3</v>
      </c>
      <c r="D161" s="43">
        <v>8.7080000000000005E-3</v>
      </c>
      <c r="E161" s="43">
        <v>2.0509999999999999E-3</v>
      </c>
      <c r="F161" s="43">
        <v>8.4259999999999995E-3</v>
      </c>
      <c r="G161" s="43">
        <v>2.3493E-2</v>
      </c>
    </row>
    <row r="162" spans="1:7" x14ac:dyDescent="0.3">
      <c r="A162" s="38">
        <v>46153</v>
      </c>
      <c r="B162" s="43">
        <v>3.1780000000000003E-3</v>
      </c>
      <c r="C162" s="43">
        <v>-3.5999999999999997E-4</v>
      </c>
      <c r="D162" s="43">
        <v>6.3311999999999993E-2</v>
      </c>
      <c r="E162" s="43">
        <v>1.85E-4</v>
      </c>
      <c r="F162" s="43">
        <v>1.8799999999999999E-3</v>
      </c>
      <c r="G162" s="43">
        <v>2.9299999999999999E-3</v>
      </c>
    </row>
    <row r="163" spans="1:7" x14ac:dyDescent="0.3">
      <c r="A163" s="38">
        <v>46154</v>
      </c>
      <c r="B163" s="43">
        <v>9.4200000000000002E-4</v>
      </c>
      <c r="C163" s="43">
        <v>-8.7100000000000007E-3</v>
      </c>
      <c r="D163" s="43">
        <v>-4.1530000000000004E-3</v>
      </c>
      <c r="E163" s="43">
        <v>2.3779999999999999E-3</v>
      </c>
      <c r="F163" s="43">
        <v>-1.603E-3</v>
      </c>
      <c r="G163" s="43">
        <v>-8.7260000000000011E-3</v>
      </c>
    </row>
    <row r="164" spans="1:7" x14ac:dyDescent="0.3">
      <c r="A164" s="38">
        <v>46155</v>
      </c>
      <c r="B164" s="43">
        <v>-3.7790000000000002E-3</v>
      </c>
      <c r="C164" s="43">
        <v>4.2970000000000005E-3</v>
      </c>
      <c r="D164" s="43">
        <v>4.4143999999999996E-2</v>
      </c>
      <c r="E164" s="43">
        <v>2.7980000000000001E-3</v>
      </c>
      <c r="F164" s="43">
        <v>5.849E-3</v>
      </c>
      <c r="G164" s="43">
        <v>1.0395000000000001E-2</v>
      </c>
    </row>
    <row r="165" spans="1:7" x14ac:dyDescent="0.3">
      <c r="A165" s="38">
        <v>46156</v>
      </c>
      <c r="B165" s="43">
        <v>-1.652E-3</v>
      </c>
      <c r="C165" s="43">
        <v>-4.1720000000000004E-3</v>
      </c>
      <c r="D165" s="43">
        <v>-4.4729999999999999E-2</v>
      </c>
      <c r="E165" s="43">
        <v>1.142E-3</v>
      </c>
      <c r="F165" s="43">
        <v>7.6559999999999996E-3</v>
      </c>
      <c r="G165" s="43">
        <v>7.2650000000000006E-3</v>
      </c>
    </row>
    <row r="166" spans="1:7" x14ac:dyDescent="0.3">
      <c r="A166" s="38">
        <v>46157</v>
      </c>
      <c r="B166" s="43">
        <v>-4.6059999999999999E-3</v>
      </c>
      <c r="C166" s="43">
        <v>-2.6143E-2</v>
      </c>
      <c r="D166" s="43">
        <v>-9.1282999999999989E-2</v>
      </c>
      <c r="E166" s="43">
        <v>3.3639999999999998E-3</v>
      </c>
      <c r="F166" s="43">
        <v>-1.2362999999999999E-2</v>
      </c>
      <c r="G166" s="43">
        <v>-1.5384999999999999E-2</v>
      </c>
    </row>
    <row r="167" spans="1:7" x14ac:dyDescent="0.3">
      <c r="A167" s="38">
        <v>46160</v>
      </c>
      <c r="B167" s="43">
        <v>-4.0879999999999996E-3</v>
      </c>
      <c r="C167" s="43">
        <v>-7.2400000000000003E-4</v>
      </c>
      <c r="D167" s="43">
        <v>-1.1409999999999999E-3</v>
      </c>
      <c r="E167" s="43">
        <v>2.9170000000000003E-3</v>
      </c>
      <c r="F167" s="43">
        <v>-7.36E-4</v>
      </c>
      <c r="G167" s="43">
        <v>-4.4919999999999995E-3</v>
      </c>
    </row>
    <row r="168" spans="1:7" x14ac:dyDescent="0.3">
      <c r="A168" s="38">
        <v>46161</v>
      </c>
      <c r="B168" s="43">
        <v>3.5079999999999998E-3</v>
      </c>
      <c r="C168" s="43">
        <v>-1.0147999999999999E-2</v>
      </c>
      <c r="D168" s="43">
        <v>-2.9127999999999998E-2</v>
      </c>
      <c r="E168" s="43">
        <v>1.07E-4</v>
      </c>
      <c r="F168" s="43">
        <v>-6.6779999999999999E-3</v>
      </c>
      <c r="G168" s="43">
        <v>-6.0540000000000004E-3</v>
      </c>
    </row>
    <row r="169" spans="1:7" x14ac:dyDescent="0.3">
      <c r="A169" s="38">
        <v>46162</v>
      </c>
      <c r="B169" s="43">
        <v>-4.1199999999999995E-3</v>
      </c>
      <c r="C169" s="43">
        <v>5.548E-3</v>
      </c>
      <c r="D169" s="43">
        <v>1.3670999999999999E-2</v>
      </c>
      <c r="E169" s="43">
        <v>1.0950000000000001E-3</v>
      </c>
      <c r="F169" s="43">
        <v>1.0792E-2</v>
      </c>
      <c r="G169" s="43">
        <v>1.6615999999999999E-2</v>
      </c>
    </row>
    <row r="170" spans="1:7" x14ac:dyDescent="0.3">
      <c r="A170" s="38">
        <v>46163</v>
      </c>
      <c r="B170" s="43">
        <v>1.5690000000000001E-3</v>
      </c>
      <c r="C170" s="43">
        <v>1.8759999999999998E-3</v>
      </c>
      <c r="D170" s="43">
        <v>7.4219999999999998E-3</v>
      </c>
      <c r="E170" s="43">
        <v>-9.2399999999999991E-4</v>
      </c>
      <c r="F170" s="43">
        <v>1.7150000000000002E-3</v>
      </c>
      <c r="G170" s="43">
        <v>2.0330000000000001E-3</v>
      </c>
    </row>
    <row r="171" spans="1:7" x14ac:dyDescent="0.3">
      <c r="A171" s="38">
        <v>46164</v>
      </c>
      <c r="B171" s="43">
        <v>-3.5999999999999997E-4</v>
      </c>
      <c r="C171" s="43">
        <v>-4.1410000000000006E-3</v>
      </c>
      <c r="D171" s="43">
        <v>-6.8179999999999994E-3</v>
      </c>
      <c r="E171" s="43">
        <v>8.1799999999999993E-4</v>
      </c>
      <c r="F171" s="43">
        <v>3.7269999999999998E-3</v>
      </c>
      <c r="G171" s="43">
        <v>4.2360000000000002E-3</v>
      </c>
    </row>
    <row r="172" spans="1:7" x14ac:dyDescent="0.3">
      <c r="A172" s="38">
        <v>46167</v>
      </c>
      <c r="B172" s="43">
        <v>1.8160000000000001E-3</v>
      </c>
      <c r="C172" s="43">
        <v>0</v>
      </c>
      <c r="D172" s="43">
        <v>0</v>
      </c>
      <c r="E172" s="43">
        <v>-4.5300000000000001E-4</v>
      </c>
      <c r="F172" s="43">
        <v>0</v>
      </c>
      <c r="G172" s="43">
        <v>0</v>
      </c>
    </row>
    <row r="173" spans="1:7" x14ac:dyDescent="0.3">
      <c r="A173" s="38">
        <v>46168</v>
      </c>
      <c r="B173" s="43">
        <v>-4.1899999999999999E-4</v>
      </c>
      <c r="C173" s="43">
        <v>-4.5570000000000003E-3</v>
      </c>
      <c r="D173" s="43">
        <v>5.4290000000000007E-3</v>
      </c>
      <c r="E173" s="43">
        <v>5.0000000000000002E-5</v>
      </c>
      <c r="F173" s="43">
        <v>6.1079999999999997E-3</v>
      </c>
      <c r="G173" s="43">
        <v>1.7627E-2</v>
      </c>
    </row>
    <row r="174" spans="1:7" x14ac:dyDescent="0.3">
      <c r="A174" s="38">
        <v>46169</v>
      </c>
      <c r="B174" s="43">
        <v>-4.7000000000000004E-5</v>
      </c>
      <c r="C174" s="43">
        <v>-1.1754000000000001E-2</v>
      </c>
      <c r="D174" s="43">
        <v>-2.2357999999999999E-2</v>
      </c>
      <c r="E174" s="43">
        <v>1.818E-3</v>
      </c>
      <c r="F174" s="43">
        <v>1.65E-4</v>
      </c>
      <c r="G174" s="43">
        <v>-9.2500000000000004E-4</v>
      </c>
    </row>
    <row r="175" spans="1:7" x14ac:dyDescent="0.3">
      <c r="A175" s="38">
        <v>46170</v>
      </c>
      <c r="B175" s="43">
        <v>-1.6270000000000002E-3</v>
      </c>
      <c r="C175" s="43">
        <v>1.1647000000000001E-2</v>
      </c>
      <c r="D175" s="43">
        <v>1.4022E-2</v>
      </c>
      <c r="E175" s="43">
        <v>2.0409999999999998E-3</v>
      </c>
      <c r="F175" s="43">
        <v>5.7540000000000004E-3</v>
      </c>
      <c r="G175" s="43">
        <v>8.350999999999999E-3</v>
      </c>
    </row>
    <row r="176" spans="1:7" x14ac:dyDescent="0.3">
      <c r="A176" s="38">
        <v>46171</v>
      </c>
      <c r="B176" s="43">
        <v>3.006E-3</v>
      </c>
      <c r="C176" s="43">
        <v>1.3602000000000001E-2</v>
      </c>
      <c r="D176" s="43">
        <v>-3.8299999999999999E-4</v>
      </c>
      <c r="E176" s="43">
        <v>-1.867E-3</v>
      </c>
      <c r="F176" s="43">
        <v>2.1719999999999999E-3</v>
      </c>
      <c r="G176" s="43">
        <v>3.6159999999999999E-3</v>
      </c>
    </row>
    <row r="177" spans="1:7" x14ac:dyDescent="0.3">
      <c r="A177" s="38">
        <v>46174</v>
      </c>
      <c r="B177" s="43">
        <v>-3.3799999999999998E-4</v>
      </c>
      <c r="C177" s="43">
        <v>-1.8704000000000002E-2</v>
      </c>
      <c r="D177" s="43">
        <v>-8.0540000000000004E-3</v>
      </c>
      <c r="E177" s="43">
        <v>5.2099999999999998E-4</v>
      </c>
      <c r="F177" s="43">
        <v>2.6250000000000002E-3</v>
      </c>
      <c r="G177" s="43">
        <v>5.9570000000000005E-3</v>
      </c>
    </row>
    <row r="178" spans="1:7" x14ac:dyDescent="0.3">
      <c r="A178" s="38">
        <v>46175</v>
      </c>
      <c r="B178" s="43">
        <v>-1.152E-3</v>
      </c>
      <c r="C178" s="43">
        <v>3.1059999999999998E-3</v>
      </c>
      <c r="D178" s="43">
        <v>4.0530000000000002E-3</v>
      </c>
      <c r="E178" s="43">
        <v>1.776E-3</v>
      </c>
      <c r="F178" s="43">
        <v>1.2920000000000002E-3</v>
      </c>
      <c r="G178" s="43">
        <v>4.8089999999999999E-3</v>
      </c>
    </row>
    <row r="179" spans="1:7" x14ac:dyDescent="0.3">
      <c r="A179" s="38">
        <v>46176</v>
      </c>
      <c r="B179" s="43">
        <v>-1.1509999999999999E-3</v>
      </c>
      <c r="C179" s="43">
        <v>-1.1672999999999999E-2</v>
      </c>
      <c r="D179" s="43">
        <v>-2.4365999999999999E-2</v>
      </c>
      <c r="E179" s="43">
        <v>2.0799999999999998E-3</v>
      </c>
      <c r="F179" s="43">
        <v>-7.3720000000000001E-3</v>
      </c>
      <c r="G179" s="43">
        <v>-2.9139999999999999E-3</v>
      </c>
    </row>
    <row r="180" spans="1:7" x14ac:dyDescent="0.3">
      <c r="A180" s="38">
        <v>46177</v>
      </c>
      <c r="B180" s="43">
        <v>-1.091E-3</v>
      </c>
      <c r="C180" s="43">
        <v>8.8129999999999997E-3</v>
      </c>
      <c r="D180" s="43">
        <v>4.1240000000000001E-3</v>
      </c>
      <c r="E180" s="43">
        <v>-1.7500000000000003E-4</v>
      </c>
      <c r="F180" s="43">
        <v>4.0550000000000004E-3</v>
      </c>
      <c r="G180" s="43">
        <v>-5.3460000000000001E-3</v>
      </c>
    </row>
    <row r="181" spans="1:7" x14ac:dyDescent="0.3">
      <c r="A181" s="38">
        <v>46178</v>
      </c>
      <c r="B181" s="43">
        <v>2.7900000000000001E-4</v>
      </c>
      <c r="C181" s="43">
        <v>-3.0988999999999999E-2</v>
      </c>
      <c r="D181" s="43">
        <v>-6.5547000000000008E-2</v>
      </c>
      <c r="E181" s="43">
        <v>3.1300000000000002E-4</v>
      </c>
      <c r="F181" s="43">
        <v>-2.6445E-2</v>
      </c>
      <c r="G181" s="43">
        <v>-4.7691999999999998E-2</v>
      </c>
    </row>
    <row r="182" spans="1:7" x14ac:dyDescent="0.3">
      <c r="A182" s="38">
        <v>46181</v>
      </c>
      <c r="B182" s="43">
        <v>-7.7549999999999997E-3</v>
      </c>
      <c r="C182" s="43">
        <v>-2.7700000000000001E-4</v>
      </c>
      <c r="D182" s="43">
        <v>-7.5129999999999997E-3</v>
      </c>
      <c r="E182" s="43">
        <v>2.1060000000000002E-3</v>
      </c>
      <c r="F182" s="43">
        <v>2.9780000000000002E-3</v>
      </c>
      <c r="G182" s="43">
        <v>1.5769999999999999E-2</v>
      </c>
    </row>
    <row r="183" spans="1:7" x14ac:dyDescent="0.3">
      <c r="A183" s="38">
        <v>46182</v>
      </c>
      <c r="B183" s="43">
        <v>5.0700000000000007E-4</v>
      </c>
      <c r="C183" s="43">
        <v>-1.7505E-2</v>
      </c>
      <c r="D183" s="43">
        <v>-4.8681000000000002E-2</v>
      </c>
      <c r="E183" s="43">
        <v>-9.5399999999999999E-4</v>
      </c>
      <c r="F183" s="43">
        <v>-2.5760000000000002E-3</v>
      </c>
      <c r="G183" s="43">
        <v>-1.1211E-2</v>
      </c>
    </row>
    <row r="184" spans="1:7" x14ac:dyDescent="0.3">
      <c r="A184" s="38">
        <v>46183</v>
      </c>
      <c r="B184" s="43">
        <v>5.9999999999999995E-4</v>
      </c>
      <c r="C184" s="43">
        <v>-3.5633999999999999E-2</v>
      </c>
      <c r="D184" s="43">
        <v>-7.6039999999999996E-3</v>
      </c>
      <c r="E184" s="43">
        <v>1.3109999999999999E-3</v>
      </c>
      <c r="F184" s="43">
        <v>-1.6198999999999998E-2</v>
      </c>
      <c r="G184" s="43">
        <v>-1.9820999999999998E-2</v>
      </c>
    </row>
    <row r="185" spans="1:7" x14ac:dyDescent="0.3">
      <c r="A185" s="38">
        <v>46184</v>
      </c>
      <c r="B185" s="43">
        <v>2.3E-5</v>
      </c>
      <c r="C185" s="43">
        <v>-4.3569999999999998E-3</v>
      </c>
      <c r="D185" s="43">
        <v>-1.1053E-2</v>
      </c>
      <c r="E185" s="43">
        <v>8.92E-4</v>
      </c>
      <c r="F185" s="43">
        <v>1.7519E-2</v>
      </c>
      <c r="G185" s="43">
        <v>3.2908E-2</v>
      </c>
    </row>
    <row r="186" spans="1:7" x14ac:dyDescent="0.3">
      <c r="A186" s="38">
        <v>46185</v>
      </c>
      <c r="B186" s="43">
        <v>3.4960000000000004E-3</v>
      </c>
      <c r="C186" s="43">
        <v>3.0487E-2</v>
      </c>
      <c r="D186" s="43">
        <v>6.2206000000000004E-2</v>
      </c>
      <c r="E186" s="43">
        <v>-2.4729999999999999E-3</v>
      </c>
      <c r="F186" s="43">
        <v>5.0260000000000001E-3</v>
      </c>
      <c r="G186" s="43">
        <v>6.4449999999999993E-3</v>
      </c>
    </row>
    <row r="187" spans="1:7" x14ac:dyDescent="0.3">
      <c r="A187" s="38">
        <v>46188</v>
      </c>
      <c r="B187" s="43">
        <v>2.3440000000000002E-3</v>
      </c>
      <c r="C187" s="43">
        <v>2.6808999999999999E-2</v>
      </c>
      <c r="D187" s="43">
        <v>3.2522999999999996E-2</v>
      </c>
      <c r="E187" s="43">
        <v>-1.093E-3</v>
      </c>
      <c r="F187" s="43">
        <v>1.6528000000000001E-2</v>
      </c>
      <c r="G187" s="43">
        <v>3.0636999999999998E-2</v>
      </c>
    </row>
    <row r="188" spans="1:7" x14ac:dyDescent="0.3">
      <c r="A188" s="38">
        <v>46189</v>
      </c>
      <c r="B188" s="43">
        <v>-7.6499999999999995E-4</v>
      </c>
      <c r="C188" s="43">
        <v>6.7000000000000002E-4</v>
      </c>
      <c r="D188" s="43">
        <v>-2.3830000000000001E-3</v>
      </c>
      <c r="E188" s="43">
        <v>1.7130000000000001E-3</v>
      </c>
      <c r="F188" s="43">
        <v>-5.6839999999999998E-3</v>
      </c>
      <c r="G188" s="43">
        <v>-1.8851E-2</v>
      </c>
    </row>
    <row r="189" spans="1:7" x14ac:dyDescent="0.3">
      <c r="A189" s="38">
        <v>46190</v>
      </c>
      <c r="B189" s="43">
        <v>1.358E-3</v>
      </c>
      <c r="C189" s="43">
        <v>6.4649999999999994E-3</v>
      </c>
      <c r="D189" s="43">
        <v>1.1402000000000001E-2</v>
      </c>
      <c r="E189" s="43">
        <v>1.186E-3</v>
      </c>
      <c r="F189" s="43">
        <v>-1.2148000000000001E-2</v>
      </c>
      <c r="G189" s="43">
        <v>-9.9170000000000005E-3</v>
      </c>
    </row>
    <row r="190" spans="1:7" x14ac:dyDescent="0.3">
      <c r="A190" s="38">
        <v>46191</v>
      </c>
      <c r="B190" s="43">
        <v>-8.8380000000000004E-3</v>
      </c>
      <c r="C190" s="43">
        <v>-3.0924999999999998E-2</v>
      </c>
      <c r="D190" s="43">
        <v>-6.2817999999999999E-2</v>
      </c>
      <c r="E190" s="43">
        <v>1.1279999999999999E-3</v>
      </c>
      <c r="F190" s="43">
        <v>1.0846E-2</v>
      </c>
      <c r="G190" s="43">
        <v>2.4780000000000003E-2</v>
      </c>
    </row>
    <row r="191" spans="1:7" x14ac:dyDescent="0.3">
      <c r="A191" s="38">
        <v>46192</v>
      </c>
      <c r="B191" s="43">
        <v>-4.2399999999999998E-3</v>
      </c>
      <c r="C191" s="43">
        <v>0</v>
      </c>
      <c r="D191" s="43">
        <v>0</v>
      </c>
      <c r="E191" s="43">
        <v>4.2899999999999995E-3</v>
      </c>
      <c r="F191" s="43">
        <v>0</v>
      </c>
      <c r="G191" s="43">
        <v>0</v>
      </c>
    </row>
    <row r="192" spans="1:7" x14ac:dyDescent="0.3">
      <c r="A192" s="38">
        <v>46195</v>
      </c>
      <c r="B192" s="43">
        <v>3.6700000000000003E-4</v>
      </c>
      <c r="C192" s="43">
        <v>-9.9900000000000006E-3</v>
      </c>
      <c r="D192" s="43">
        <v>-1.0988E-2</v>
      </c>
      <c r="E192" s="43">
        <v>8.9300000000000002E-4</v>
      </c>
      <c r="F192" s="43">
        <v>-3.705E-3</v>
      </c>
      <c r="G192" s="43">
        <v>-1.944E-3</v>
      </c>
    </row>
    <row r="193" spans="1:7" x14ac:dyDescent="0.3">
      <c r="A193" s="38">
        <v>46196</v>
      </c>
      <c r="B193" s="43">
        <v>-3.1080000000000001E-3</v>
      </c>
      <c r="C193" s="43">
        <v>-1.2435E-2</v>
      </c>
      <c r="D193" s="43">
        <v>-5.3520000000000005E-2</v>
      </c>
      <c r="E193" s="43">
        <v>8.4900000000000004E-4</v>
      </c>
      <c r="F193" s="43">
        <v>-1.4362999999999999E-2</v>
      </c>
      <c r="G193" s="43">
        <v>-3.2946000000000003E-2</v>
      </c>
    </row>
    <row r="194" spans="1:7" x14ac:dyDescent="0.3">
      <c r="A194" s="38">
        <v>46197</v>
      </c>
      <c r="B194" s="43">
        <v>-4.1649999999999994E-3</v>
      </c>
      <c r="C194" s="43">
        <v>-3.3801999999999999E-2</v>
      </c>
      <c r="D194" s="43">
        <v>-6.3978999999999994E-2</v>
      </c>
      <c r="E194" s="43">
        <v>1.7899999999999999E-4</v>
      </c>
      <c r="F194" s="43">
        <v>-9.8299999999999993E-4</v>
      </c>
      <c r="G194" s="43">
        <v>-4.3350000000000003E-3</v>
      </c>
    </row>
    <row r="195" spans="1:7" x14ac:dyDescent="0.3">
      <c r="A195" s="38">
        <v>46198</v>
      </c>
      <c r="B195" s="43">
        <v>-2.225E-3</v>
      </c>
      <c r="C195" s="43">
        <v>1.0074000000000001E-2</v>
      </c>
      <c r="D195" s="43">
        <v>5.0990000000000002E-3</v>
      </c>
      <c r="E195" s="43">
        <v>1.0150000000000001E-3</v>
      </c>
      <c r="F195" s="43">
        <v>-9.9000000000000008E-5</v>
      </c>
      <c r="G195" s="43">
        <v>7.5380000000000004E-3</v>
      </c>
    </row>
    <row r="196" spans="1:7" x14ac:dyDescent="0.3">
      <c r="A196" s="38">
        <v>46199</v>
      </c>
      <c r="B196" s="43">
        <v>6.5899999999999997E-4</v>
      </c>
      <c r="C196" s="43">
        <v>1.1958999999999999E-2</v>
      </c>
      <c r="D196" s="43">
        <v>1.4893E-2</v>
      </c>
      <c r="E196" s="43">
        <v>2.5999999999999998E-4</v>
      </c>
      <c r="F196" s="43">
        <v>-4.7199999999999998E-4</v>
      </c>
      <c r="G196" s="43">
        <v>-1.094E-2</v>
      </c>
    </row>
    <row r="197" spans="1:7" x14ac:dyDescent="0.3">
      <c r="A197" s="38">
        <v>46202</v>
      </c>
      <c r="B197" s="43">
        <v>2.1060000000000002E-3</v>
      </c>
      <c r="C197" s="43">
        <v>-1.3828E-2</v>
      </c>
      <c r="D197" s="43">
        <v>-1.7596000000000001E-2</v>
      </c>
      <c r="E197" s="43">
        <v>-1.11E-4</v>
      </c>
      <c r="F197" s="43">
        <v>1.175E-2</v>
      </c>
      <c r="G197" s="43">
        <v>2.2546E-2</v>
      </c>
    </row>
    <row r="198" spans="1:7" x14ac:dyDescent="0.3">
      <c r="A198" s="38">
        <v>46203</v>
      </c>
      <c r="B198" s="43">
        <v>3.1979999999999999E-3</v>
      </c>
      <c r="C198" s="43">
        <v>1.4899999999999999E-4</v>
      </c>
      <c r="D198" s="43">
        <v>2.2381000000000002E-2</v>
      </c>
      <c r="E198" s="43">
        <v>8.4099999999999995E-4</v>
      </c>
      <c r="F198" s="43">
        <v>7.92E-3</v>
      </c>
      <c r="G198" s="43">
        <v>1.6846E-2</v>
      </c>
    </row>
    <row r="199" spans="1:7" x14ac:dyDescent="0.3">
      <c r="A199" s="38">
        <v>46204</v>
      </c>
      <c r="B199" s="43">
        <v>-7.6499999999999995E-4</v>
      </c>
      <c r="C199" s="43">
        <v>1.1285E-2</v>
      </c>
      <c r="D199" s="43">
        <v>1.0222E-2</v>
      </c>
      <c r="E199" s="43">
        <v>4.3540000000000002E-3</v>
      </c>
      <c r="F199" s="43">
        <v>-2.1510000000000001E-3</v>
      </c>
      <c r="G199" s="43">
        <v>-1.5432E-2</v>
      </c>
    </row>
    <row r="200" spans="1:7" x14ac:dyDescent="0.3">
      <c r="A200" s="38">
        <v>46205</v>
      </c>
      <c r="B200" s="43">
        <v>-3.0950000000000001E-3</v>
      </c>
      <c r="C200" s="43">
        <v>1.0914E-2</v>
      </c>
      <c r="D200" s="43">
        <v>9.2870000000000001E-3</v>
      </c>
      <c r="E200" s="43">
        <v>-5.4699999999999996E-4</v>
      </c>
      <c r="F200" s="43">
        <v>9.9999999999999995E-7</v>
      </c>
      <c r="G200" s="43">
        <v>-1.61E-2</v>
      </c>
    </row>
    <row r="201" spans="1:7" x14ac:dyDescent="0.3">
      <c r="A201" s="38">
        <v>46206</v>
      </c>
      <c r="B201" s="43">
        <v>3.9290000000000002E-3</v>
      </c>
      <c r="C201" s="43">
        <v>0</v>
      </c>
      <c r="D201" s="43">
        <v>0</v>
      </c>
      <c r="E201" s="43">
        <v>-6.7060000000000002E-3</v>
      </c>
      <c r="F201" s="43">
        <v>0</v>
      </c>
      <c r="G201" s="43">
        <v>0</v>
      </c>
    </row>
    <row r="202" spans="1:7" x14ac:dyDescent="0.3">
      <c r="A202" s="38">
        <v>46209</v>
      </c>
      <c r="B202" s="43">
        <v>1.315E-3</v>
      </c>
      <c r="C202" s="43">
        <v>1.031E-2</v>
      </c>
      <c r="D202" s="43">
        <v>2.1058E-2</v>
      </c>
      <c r="E202" s="43">
        <v>1.9000000000000001E-5</v>
      </c>
      <c r="F202" s="43">
        <v>7.2419999999999993E-3</v>
      </c>
      <c r="G202" s="43">
        <v>1.257E-2</v>
      </c>
    </row>
    <row r="203" spans="1:7" x14ac:dyDescent="0.3">
      <c r="A203" s="38">
        <v>46210</v>
      </c>
      <c r="B203" s="43">
        <v>3.5499999999999996E-4</v>
      </c>
      <c r="C203" s="43">
        <v>-2.359E-3</v>
      </c>
      <c r="D203" s="43">
        <v>-1.5972E-2</v>
      </c>
      <c r="E203" s="43">
        <v>3.9389999999999998E-3</v>
      </c>
      <c r="F203" s="43">
        <v>-4.4549999999999998E-3</v>
      </c>
      <c r="G203" s="43">
        <v>-1.7673000000000001E-2</v>
      </c>
    </row>
    <row r="204" spans="1:7" x14ac:dyDescent="0.3">
      <c r="A204" s="38">
        <v>46211</v>
      </c>
      <c r="B204" s="43">
        <v>-3.3179999999999998E-3</v>
      </c>
      <c r="C204" s="43">
        <v>-1.7947999999999999E-2</v>
      </c>
      <c r="D204" s="43">
        <v>-4.5412000000000001E-2</v>
      </c>
      <c r="E204" s="43">
        <v>1.6969999999999999E-3</v>
      </c>
      <c r="F204" s="43">
        <v>-2.8170000000000001E-3</v>
      </c>
      <c r="G204" s="43">
        <v>2.7269999999999998E-3</v>
      </c>
    </row>
    <row r="205" spans="1:7" x14ac:dyDescent="0.3">
      <c r="A205" s="38">
        <v>46212</v>
      </c>
      <c r="B205" s="43">
        <v>1.5989999999999999E-3</v>
      </c>
      <c r="C205" s="43">
        <v>1.4664999999999999E-2</v>
      </c>
      <c r="D205" s="43">
        <v>3.8065000000000002E-2</v>
      </c>
      <c r="E205" s="43">
        <v>1.0839999999999999E-3</v>
      </c>
      <c r="F205" s="43">
        <v>8.1430000000000009E-3</v>
      </c>
      <c r="G205" s="43">
        <v>1.6222E-2</v>
      </c>
    </row>
    <row r="206" spans="1:7" x14ac:dyDescent="0.3">
      <c r="A206" s="38">
        <v>46213</v>
      </c>
      <c r="B206" s="43">
        <v>9.9500000000000001E-4</v>
      </c>
      <c r="C206" s="43">
        <v>-6.4159999999999998E-3</v>
      </c>
      <c r="D206" s="43">
        <v>-9.4240000000000001E-3</v>
      </c>
      <c r="E206" s="43">
        <v>-1.083E-3</v>
      </c>
      <c r="F206" s="43">
        <v>4.2090000000000001E-3</v>
      </c>
      <c r="G206" s="43">
        <v>3.297E-3</v>
      </c>
    </row>
    <row r="207" spans="1:7" x14ac:dyDescent="0.3">
      <c r="A207" s="38">
        <v>46216</v>
      </c>
      <c r="B207" s="43">
        <v>-2.532E-3</v>
      </c>
      <c r="C207" s="43">
        <v>-2.6095999999999998E-2</v>
      </c>
      <c r="D207" s="43">
        <v>-3.6366000000000002E-2</v>
      </c>
      <c r="E207" s="43">
        <v>-2.9870000000000001E-3</v>
      </c>
      <c r="F207" s="43">
        <v>-7.927E-3</v>
      </c>
      <c r="G207" s="43">
        <v>-1.881E-2</v>
      </c>
    </row>
    <row r="208" spans="1:7" x14ac:dyDescent="0.3">
      <c r="A208" s="38">
        <v>46217</v>
      </c>
      <c r="B208" s="43">
        <v>-1.7649999999999999E-3</v>
      </c>
      <c r="C208" s="43">
        <v>1.6036999999999999E-2</v>
      </c>
      <c r="D208" s="43">
        <v>1.9744999999999999E-2</v>
      </c>
      <c r="E208" s="43">
        <v>3.4039999999999999E-3</v>
      </c>
      <c r="F208" s="43">
        <v>3.7590000000000002E-3</v>
      </c>
      <c r="G208" s="43">
        <v>1.1009999999999999E-2</v>
      </c>
    </row>
    <row r="209" spans="1:7" x14ac:dyDescent="0.3">
      <c r="A209" s="38">
        <v>46218</v>
      </c>
      <c r="B209" s="43">
        <v>3.542E-3</v>
      </c>
      <c r="C209" s="43">
        <v>-4.2109999999999995E-3</v>
      </c>
      <c r="D209" s="43">
        <v>-2.8279000000000002E-2</v>
      </c>
      <c r="E209" s="43">
        <v>-1.49E-3</v>
      </c>
      <c r="F209" s="43">
        <v>3.8190000000000003E-3</v>
      </c>
      <c r="G209" s="43">
        <v>-2.8289999999999999E-3</v>
      </c>
    </row>
    <row r="210" spans="1:7" x14ac:dyDescent="0.3">
      <c r="A210" s="38">
        <v>46219</v>
      </c>
      <c r="B210" s="43">
        <v>3.9919999999999999E-3</v>
      </c>
      <c r="C210" s="43">
        <v>-1.4440999999999999E-2</v>
      </c>
      <c r="D210" s="43">
        <v>-2.1221999999999998E-2</v>
      </c>
      <c r="E210" s="43">
        <v>-7.0899999999999999E-4</v>
      </c>
      <c r="F210" s="43">
        <v>-5.1009999999999996E-3</v>
      </c>
      <c r="G210" s="43">
        <v>-1.6161999999999999E-2</v>
      </c>
    </row>
    <row r="211" spans="1:7" x14ac:dyDescent="0.3">
      <c r="A211" s="38">
        <v>46220</v>
      </c>
      <c r="B211" s="43">
        <v>-2.232E-3</v>
      </c>
      <c r="C211" s="43">
        <v>6.7989999999999995E-3</v>
      </c>
      <c r="D211" s="43">
        <v>2.5049999999999998E-3</v>
      </c>
      <c r="E211" s="43">
        <v>1.8759999999999998E-3</v>
      </c>
      <c r="F211" s="43">
        <v>-1.0099E-2</v>
      </c>
      <c r="G211" s="43">
        <v>-1.4922E-2</v>
      </c>
    </row>
    <row r="212" spans="1:7" x14ac:dyDescent="0.3">
      <c r="A212" s="38">
        <v>46223</v>
      </c>
      <c r="B212" s="43">
        <v>-1.4860000000000001E-3</v>
      </c>
      <c r="C212" s="43">
        <v>-5.9800000000000001E-4</v>
      </c>
      <c r="D212" s="43">
        <v>1.3634E-2</v>
      </c>
      <c r="E212" s="43">
        <v>8.3699999999999996E-4</v>
      </c>
      <c r="F212" s="43">
        <v>-1.9320000000000001E-3</v>
      </c>
      <c r="G212" s="43">
        <v>4.0500000000000003E-4</v>
      </c>
    </row>
    <row r="213" spans="1:7" x14ac:dyDescent="0.3">
      <c r="A213" s="38">
        <v>46224</v>
      </c>
      <c r="B213" s="43">
        <v>-8.34E-4</v>
      </c>
      <c r="C213" s="43">
        <v>1.5161000000000001E-2</v>
      </c>
      <c r="D213" s="43">
        <v>3.5790999999999996E-2</v>
      </c>
      <c r="E213" s="43">
        <v>-1.54E-4</v>
      </c>
      <c r="F213" s="43">
        <v>8.856000000000001E-3</v>
      </c>
      <c r="G213" s="43">
        <v>1.9261E-2</v>
      </c>
    </row>
    <row r="214" spans="1:7" x14ac:dyDescent="0.3">
      <c r="A214" s="38">
        <v>46225</v>
      </c>
      <c r="B214" s="43">
        <v>-1.2540000000000001E-3</v>
      </c>
      <c r="C214" s="43">
        <v>1.8619E-2</v>
      </c>
      <c r="D214" s="43">
        <v>2.0124E-2</v>
      </c>
      <c r="E214" s="43">
        <v>4.3020000000000003E-3</v>
      </c>
      <c r="F214" s="43">
        <v>-1.364E-3</v>
      </c>
      <c r="G214" s="43">
        <v>-5.3879999999999996E-3</v>
      </c>
    </row>
    <row r="215" spans="1:7" x14ac:dyDescent="0.3">
      <c r="A215" s="38">
        <v>46226</v>
      </c>
      <c r="B215" s="43">
        <v>6.96E-4</v>
      </c>
      <c r="C215" s="43">
        <v>-2.4187E-2</v>
      </c>
      <c r="D215" s="43">
        <v>-3.7004999999999996E-2</v>
      </c>
      <c r="E215" s="43">
        <v>-6.4400000000000004E-4</v>
      </c>
      <c r="F215" s="43">
        <v>-1.209E-2</v>
      </c>
      <c r="G215" s="43">
        <v>-1.8734999999999998E-2</v>
      </c>
    </row>
    <row r="216" spans="1:7" x14ac:dyDescent="0.3">
      <c r="A216" s="38">
        <v>46227</v>
      </c>
      <c r="B216" s="43">
        <v>-3.0599999999999998E-3</v>
      </c>
      <c r="C216" s="43">
        <v>5.1900000000000002E-3</v>
      </c>
      <c r="D216" s="43">
        <v>1.4844999999999999E-2</v>
      </c>
      <c r="E216" s="43">
        <v>4.6050000000000006E-3</v>
      </c>
      <c r="F216" s="43">
        <v>4.9700000000000005E-4</v>
      </c>
      <c r="G216" s="43">
        <v>-1.1473000000000001E-2</v>
      </c>
    </row>
    <row r="217" spans="1:7" x14ac:dyDescent="0.3">
      <c r="A217" s="38">
        <v>46230</v>
      </c>
      <c r="B217" s="43">
        <v>1.5950000000000001E-3</v>
      </c>
      <c r="C217" s="43">
        <v>1.696E-3</v>
      </c>
      <c r="D217" s="43">
        <v>-3.1369999999999996E-3</v>
      </c>
      <c r="E217" s="43">
        <v>-1.3489999999999999E-3</v>
      </c>
      <c r="F217" s="43">
        <v>1.6199999999999998E-4</v>
      </c>
      <c r="G217" s="43">
        <v>-3.1689999999999999E-3</v>
      </c>
    </row>
    <row r="218" spans="1:7" x14ac:dyDescent="0.3">
      <c r="A218" s="38">
        <v>46231</v>
      </c>
      <c r="B218" s="43">
        <v>-2.2400000000000002E-3</v>
      </c>
      <c r="C218" s="43">
        <v>-9.3749999999999997E-3</v>
      </c>
      <c r="D218" s="43">
        <v>-2.0112000000000001E-2</v>
      </c>
      <c r="E218" s="43">
        <v>9.7799999999999992E-4</v>
      </c>
      <c r="F218" s="43">
        <v>2.104E-3</v>
      </c>
      <c r="G218" s="43">
        <v>-9.8460000000000006E-3</v>
      </c>
    </row>
    <row r="219" spans="1:7" x14ac:dyDescent="0.3">
      <c r="A219" s="38">
        <v>46232</v>
      </c>
      <c r="B219" s="43">
        <v>1.503E-3</v>
      </c>
      <c r="C219" s="43">
        <v>-3.9600000000000003E-4</v>
      </c>
      <c r="D219" s="43">
        <v>9.8960000000000003E-3</v>
      </c>
      <c r="E219" s="43">
        <v>5.6800000000000004E-4</v>
      </c>
      <c r="F219" s="43">
        <v>-1.5161000000000001E-2</v>
      </c>
      <c r="G219" s="43">
        <v>-2.0560000000000002E-2</v>
      </c>
    </row>
    <row r="220" spans="1:7" x14ac:dyDescent="0.3">
      <c r="A220" s="38">
        <v>46233</v>
      </c>
      <c r="B220" s="43">
        <v>7.0869999999999995E-3</v>
      </c>
      <c r="C220" s="43">
        <v>1.6209000000000001E-2</v>
      </c>
      <c r="D220" s="43">
        <v>1.6452999999999999E-2</v>
      </c>
      <c r="E220" s="43">
        <v>-3.4420000000000002E-3</v>
      </c>
      <c r="F220" s="43">
        <v>1.6604000000000001E-2</v>
      </c>
      <c r="G220" s="43">
        <v>3.3614000000000005E-2</v>
      </c>
    </row>
    <row r="221" spans="1:7" x14ac:dyDescent="0.3">
      <c r="A221" s="38">
        <v>46234</v>
      </c>
      <c r="B221" s="43">
        <v>4.9090000000000002E-3</v>
      </c>
      <c r="C221" s="43">
        <v>-1.2439E-2</v>
      </c>
      <c r="D221" s="43">
        <v>-2.0811000000000003E-2</v>
      </c>
      <c r="E221" s="43">
        <v>-1.9088000000000001E-2</v>
      </c>
      <c r="F221" s="43">
        <v>7.0039999999999998E-3</v>
      </c>
      <c r="G221" s="43">
        <v>5.9719999999999999E-3</v>
      </c>
    </row>
    <row r="222" spans="1:7" x14ac:dyDescent="0.3">
      <c r="A222" s="38">
        <v>46237</v>
      </c>
      <c r="B222" s="43">
        <v>1.7780000000000001E-3</v>
      </c>
      <c r="C222" s="43">
        <v>-3.8030000000000004E-3</v>
      </c>
      <c r="D222" s="43">
        <v>1.32E-3</v>
      </c>
      <c r="E222" s="43">
        <v>-1.6237999999999999E-2</v>
      </c>
      <c r="F222" s="43">
        <v>1.4791E-2</v>
      </c>
      <c r="G222" s="43">
        <v>1.7776E-2</v>
      </c>
    </row>
    <row r="223" spans="1:7" x14ac:dyDescent="0.3">
      <c r="A223" s="38">
        <v>46238</v>
      </c>
      <c r="B223" s="43">
        <v>-3.176E-3</v>
      </c>
      <c r="C223" s="43">
        <v>1.5296000000000001E-2</v>
      </c>
      <c r="D223" s="43">
        <v>4.1428E-2</v>
      </c>
      <c r="E223" s="43">
        <v>-3.3599999999999998E-4</v>
      </c>
      <c r="F223" s="43">
        <v>1.7896000000000002E-2</v>
      </c>
      <c r="G223" s="43">
        <v>3.3234E-2</v>
      </c>
    </row>
    <row r="224" spans="1:7" x14ac:dyDescent="0.3">
      <c r="A224" s="38">
        <v>46239</v>
      </c>
      <c r="B224" s="43">
        <v>2.1800000000000001E-3</v>
      </c>
      <c r="C224" s="43">
        <v>3.6724E-2</v>
      </c>
      <c r="D224" s="43">
        <v>3.4018E-2</v>
      </c>
      <c r="E224" s="43">
        <v>1.0349999999999999E-3</v>
      </c>
      <c r="F224" s="43">
        <v>-1.676E-3</v>
      </c>
      <c r="G224" s="43">
        <v>-8.2520000000000007E-3</v>
      </c>
    </row>
    <row r="225" spans="1:7" x14ac:dyDescent="0.3">
      <c r="A225" s="38">
        <v>46240</v>
      </c>
      <c r="B225" s="43">
        <v>2.1609999999999997E-3</v>
      </c>
      <c r="C225" s="43">
        <v>-8.9499999999999996E-4</v>
      </c>
      <c r="D225" s="43">
        <v>-1.0628E-2</v>
      </c>
      <c r="E225" s="43">
        <v>-5.8299999999999997E-4</v>
      </c>
      <c r="F225" s="43">
        <v>-1.7599999999999998E-3</v>
      </c>
      <c r="G225" s="43">
        <v>-3.882E-3</v>
      </c>
    </row>
    <row r="226" spans="1:7" x14ac:dyDescent="0.3">
      <c r="A226" s="38">
        <v>46241</v>
      </c>
      <c r="B226" s="43">
        <v>-2.8239999999999997E-3</v>
      </c>
      <c r="C226" s="43">
        <v>2.3267000000000003E-2</v>
      </c>
      <c r="D226" s="43">
        <v>3.0811000000000002E-2</v>
      </c>
      <c r="E226" s="43">
        <v>5.1329999999999995E-3</v>
      </c>
      <c r="F226" s="43">
        <v>6.1839999999999994E-3</v>
      </c>
      <c r="G226" s="43">
        <v>1.1880999999999999E-2</v>
      </c>
    </row>
    <row r="227" spans="1:7" x14ac:dyDescent="0.3">
      <c r="A227" s="38">
        <v>46244</v>
      </c>
      <c r="B227" s="43">
        <v>2.7500000000000003E-3</v>
      </c>
      <c r="C227" s="43">
        <v>4.8609999999999999E-3</v>
      </c>
      <c r="D227" s="43">
        <v>2.8010999999999998E-2</v>
      </c>
      <c r="E227" s="43">
        <v>-3.2700000000000003E-3</v>
      </c>
      <c r="F227" s="43">
        <v>-5.8399999999999999E-4</v>
      </c>
      <c r="G227" s="43">
        <v>-3.3810000000000003E-3</v>
      </c>
    </row>
    <row r="228" spans="1:7" x14ac:dyDescent="0.3">
      <c r="A228" s="38">
        <v>46245</v>
      </c>
      <c r="B228" s="43">
        <v>-8.6600000000000002E-4</v>
      </c>
      <c r="C228" s="43">
        <v>4.8599999999999997E-3</v>
      </c>
      <c r="D228" s="43">
        <v>-5.1759999999999992E-3</v>
      </c>
      <c r="E228" s="43">
        <v>8.012E-3</v>
      </c>
      <c r="F228" s="43">
        <v>-3.2129999999999997E-3</v>
      </c>
      <c r="G228" s="43">
        <v>-3.2519999999999997E-3</v>
      </c>
    </row>
    <row r="229" spans="1:7" x14ac:dyDescent="0.3">
      <c r="A229" s="38">
        <v>46246</v>
      </c>
      <c r="B229" s="43">
        <v>-2.3099999999999998E-4</v>
      </c>
      <c r="C229" s="43">
        <v>5.9090000000000002E-3</v>
      </c>
      <c r="D229" s="43">
        <v>1.2135E-2</v>
      </c>
      <c r="E229" s="43">
        <v>6.8500000000000006E-4</v>
      </c>
      <c r="F229" s="43">
        <v>2.627E-3</v>
      </c>
      <c r="G229" s="43">
        <v>7.3540000000000003E-3</v>
      </c>
    </row>
    <row r="230" spans="1:7" x14ac:dyDescent="0.3">
      <c r="A230" s="38">
        <v>46247</v>
      </c>
      <c r="B230" s="43">
        <v>-1.188E-3</v>
      </c>
      <c r="C230" s="43">
        <v>-1.0275000000000001E-2</v>
      </c>
      <c r="D230" s="43">
        <v>-1.0403000000000001E-2</v>
      </c>
      <c r="E230" s="43">
        <v>3.9600000000000003E-4</v>
      </c>
      <c r="F230" s="43">
        <v>6.5159999999999992E-3</v>
      </c>
      <c r="G230" s="43">
        <v>1.1495E-2</v>
      </c>
    </row>
    <row r="231" spans="1:7" x14ac:dyDescent="0.3">
      <c r="A231" s="38">
        <v>46248</v>
      </c>
      <c r="B231" s="43">
        <v>4.6100000000000004E-4</v>
      </c>
      <c r="C231" s="43">
        <v>3.8500000000000001E-3</v>
      </c>
      <c r="D231" s="43">
        <v>1.7730000000000001E-3</v>
      </c>
      <c r="E231" s="43">
        <v>6.1499999999999999E-4</v>
      </c>
      <c r="F231" s="43">
        <v>-1.696E-3</v>
      </c>
      <c r="G231" s="43">
        <v>-1.2750000000000001E-3</v>
      </c>
    </row>
    <row r="232" spans="1:7" x14ac:dyDescent="0.3">
      <c r="A232" s="38">
        <v>46251</v>
      </c>
      <c r="B232" s="43">
        <v>3.3450000000000003E-3</v>
      </c>
      <c r="C232" s="43">
        <v>8.5380000000000005E-3</v>
      </c>
      <c r="D232" s="43">
        <v>1.7434000000000002E-2</v>
      </c>
      <c r="E232" s="43">
        <v>-1.273E-3</v>
      </c>
      <c r="F232" s="43">
        <v>-5.2270000000000007E-3</v>
      </c>
      <c r="G232" s="43">
        <v>-1.689E-3</v>
      </c>
    </row>
    <row r="233" spans="1:7" x14ac:dyDescent="0.3">
      <c r="A233" s="38">
        <v>46252</v>
      </c>
      <c r="B233" s="43">
        <v>7.6399999999999992E-4</v>
      </c>
      <c r="C233" s="43">
        <v>-1.1725000000000001E-2</v>
      </c>
      <c r="D233" s="43">
        <v>-3.2969999999999999E-2</v>
      </c>
      <c r="E233" s="43">
        <v>7.3499999999999998E-4</v>
      </c>
      <c r="F233" s="43">
        <v>-6.8820000000000001E-3</v>
      </c>
      <c r="G233" s="43">
        <v>-1.6816999999999999E-2</v>
      </c>
    </row>
    <row r="234" spans="1:7" x14ac:dyDescent="0.3">
      <c r="A234" s="38">
        <v>46253</v>
      </c>
      <c r="B234" s="43">
        <v>-2.9E-4</v>
      </c>
      <c r="C234" s="43">
        <v>2.8264000000000001E-2</v>
      </c>
      <c r="D234" s="43">
        <v>2.8041E-2</v>
      </c>
      <c r="E234" s="43">
        <v>1.3179999999999999E-3</v>
      </c>
      <c r="F234" s="43">
        <v>2.1090000000000002E-3</v>
      </c>
      <c r="G234" s="43">
        <v>-2.202E-3</v>
      </c>
    </row>
    <row r="235" spans="1:7" x14ac:dyDescent="0.3">
      <c r="A235" s="38">
        <v>46254</v>
      </c>
      <c r="B235" s="43">
        <v>8.147999999999999E-3</v>
      </c>
      <c r="C235" s="43">
        <v>5.9919999999999999E-3</v>
      </c>
      <c r="D235" s="43">
        <v>3.4868000000000003E-2</v>
      </c>
      <c r="E235" s="43">
        <v>-7.984999999999999E-3</v>
      </c>
      <c r="F235" s="43">
        <v>-8.6689999999999996E-3</v>
      </c>
      <c r="G235" s="43">
        <v>-7.2340000000000008E-3</v>
      </c>
    </row>
    <row r="236" spans="1:7" x14ac:dyDescent="0.3">
      <c r="A236" s="38">
        <v>46255</v>
      </c>
      <c r="B236" s="43">
        <v>1.204E-3</v>
      </c>
      <c r="C236" s="43">
        <v>2.3868999999999998E-2</v>
      </c>
      <c r="D236" s="43">
        <v>2.1167999999999999E-2</v>
      </c>
      <c r="E236" s="43">
        <v>3.8349999999999999E-3</v>
      </c>
      <c r="F236" s="43">
        <v>4.346E-3</v>
      </c>
      <c r="G236" s="43">
        <v>3.2759999999999998E-3</v>
      </c>
    </row>
    <row r="237" spans="1:7" x14ac:dyDescent="0.3">
      <c r="A237" s="38">
        <v>46258</v>
      </c>
      <c r="B237" s="43">
        <v>-5.3699999999999993E-4</v>
      </c>
      <c r="C237" s="43">
        <v>3.6109999999999996E-3</v>
      </c>
      <c r="D237" s="43">
        <v>-1.3316E-2</v>
      </c>
      <c r="E237" s="43">
        <v>1.3200000000000001E-4</v>
      </c>
      <c r="F237" s="43">
        <v>-2.8029999999999999E-3</v>
      </c>
      <c r="G237" s="43">
        <v>-9.7470000000000005E-3</v>
      </c>
    </row>
    <row r="238" spans="1:7" x14ac:dyDescent="0.3">
      <c r="A238" s="38">
        <v>46259</v>
      </c>
      <c r="B238" s="43">
        <v>-1.132E-3</v>
      </c>
      <c r="C238" s="43">
        <v>-5.8200000000000005E-4</v>
      </c>
      <c r="D238" s="43">
        <v>1.3860000000000001E-3</v>
      </c>
      <c r="E238" s="43">
        <v>1.4790000000000001E-3</v>
      </c>
      <c r="F238" s="43">
        <v>3.1909999999999998E-3</v>
      </c>
      <c r="G238" s="43">
        <v>6.4099999999999999E-3</v>
      </c>
    </row>
    <row r="239" spans="1:7" x14ac:dyDescent="0.3">
      <c r="A239" s="38">
        <v>46260</v>
      </c>
      <c r="B239" s="43">
        <v>5.4900000000000001E-4</v>
      </c>
      <c r="C239" s="43">
        <v>-8.6029999999999995E-3</v>
      </c>
      <c r="D239" s="43">
        <v>-9.4120000000000002E-3</v>
      </c>
      <c r="E239" s="43">
        <v>5.2800000000000004E-4</v>
      </c>
      <c r="F239" s="43">
        <v>-2.0599999999999999E-4</v>
      </c>
      <c r="G239" s="43">
        <v>5.2300000000000003E-4</v>
      </c>
    </row>
    <row r="240" spans="1:7" x14ac:dyDescent="0.3">
      <c r="A240" s="38">
        <v>46261</v>
      </c>
      <c r="B240" s="43">
        <v>-1.702E-3</v>
      </c>
      <c r="C240" s="43">
        <v>2.5009999999999998E-3</v>
      </c>
      <c r="D240" s="43">
        <v>2.1165E-2</v>
      </c>
      <c r="E240" s="43">
        <v>2.0100000000000001E-4</v>
      </c>
      <c r="F240" s="43">
        <v>7.2030000000000002E-3</v>
      </c>
      <c r="G240" s="43">
        <v>1.427E-2</v>
      </c>
    </row>
    <row r="241" spans="1:7" x14ac:dyDescent="0.3">
      <c r="A241" s="38">
        <v>46262</v>
      </c>
      <c r="B241" s="43">
        <v>1.2799999999999999E-4</v>
      </c>
      <c r="C241" s="43">
        <v>-2.8549000000000001E-2</v>
      </c>
      <c r="D241" s="43">
        <v>-3.5056999999999998E-2</v>
      </c>
      <c r="E241" s="43">
        <v>4.1399999999999998E-4</v>
      </c>
      <c r="F241" s="43">
        <v>-2.4870000000000001E-3</v>
      </c>
      <c r="G241" s="43">
        <v>-7.0220000000000005E-3</v>
      </c>
    </row>
    <row r="242" spans="1:7" x14ac:dyDescent="0.3">
      <c r="A242" s="38">
        <v>46265</v>
      </c>
      <c r="B242" s="43">
        <v>-5.7829999999999999E-3</v>
      </c>
      <c r="C242" s="43">
        <v>-1.0496E-2</v>
      </c>
      <c r="D242" s="43">
        <v>-1.1553000000000001E-2</v>
      </c>
      <c r="E242" s="43">
        <v>5.0280000000000004E-3</v>
      </c>
      <c r="F242" s="43">
        <v>-3.3219999999999999E-3</v>
      </c>
      <c r="G242" s="43">
        <v>8.0000000000000004E-4</v>
      </c>
    </row>
    <row r="243" spans="1:7" x14ac:dyDescent="0.3">
      <c r="A243" s="38">
        <v>46266</v>
      </c>
      <c r="B243" s="43">
        <v>2.4749999999999998E-3</v>
      </c>
      <c r="C243" s="43">
        <v>-1.8754E-2</v>
      </c>
      <c r="D243" s="43">
        <v>-2.4206999999999999E-2</v>
      </c>
      <c r="E243" s="43">
        <v>-2.3419999999999999E-3</v>
      </c>
      <c r="F243" s="43">
        <v>-7.1130000000000004E-3</v>
      </c>
      <c r="G243" s="43">
        <v>-1.2891999999999999E-2</v>
      </c>
    </row>
    <row r="244" spans="1:7" x14ac:dyDescent="0.3">
      <c r="A244" s="38">
        <v>46267</v>
      </c>
      <c r="B244" s="43">
        <v>-1.902E-3</v>
      </c>
      <c r="C244" s="43">
        <v>4.2090000000000001E-3</v>
      </c>
      <c r="D244" s="43">
        <v>1.6250000000000001E-3</v>
      </c>
      <c r="E244" s="43">
        <v>2.8110000000000001E-3</v>
      </c>
      <c r="F244" s="43">
        <v>4.6029999999999995E-3</v>
      </c>
      <c r="G244" s="43">
        <v>2.274E-3</v>
      </c>
    </row>
    <row r="245" spans="1:7" x14ac:dyDescent="0.3">
      <c r="A245" s="38">
        <v>46268</v>
      </c>
      <c r="B245" s="43">
        <v>-8.8099999999999995E-4</v>
      </c>
      <c r="C245" s="43">
        <v>2.8719999999999999E-2</v>
      </c>
      <c r="D245" s="43">
        <v>3.4763999999999996E-2</v>
      </c>
      <c r="E245" s="43">
        <v>-7.9459999999999999E-3</v>
      </c>
      <c r="F245" s="43">
        <v>1.0580000000000001E-2</v>
      </c>
      <c r="G245" s="43">
        <v>1.1632E-2</v>
      </c>
    </row>
    <row r="246" spans="1:7" x14ac:dyDescent="0.3">
      <c r="A246" s="38">
        <v>46269</v>
      </c>
      <c r="B246" s="43">
        <v>3.7099999999999998E-3</v>
      </c>
      <c r="C246" s="43">
        <v>-1.3781000000000002E-2</v>
      </c>
      <c r="D246" s="43">
        <v>-1.3827000000000001E-2</v>
      </c>
      <c r="E246" s="43">
        <v>-2.0531999999999998E-2</v>
      </c>
      <c r="F246" s="43">
        <v>-3.7569999999999999E-3</v>
      </c>
      <c r="G246" s="43">
        <v>2.0969999999999999E-3</v>
      </c>
    </row>
    <row r="247" spans="1:7" x14ac:dyDescent="0.3">
      <c r="A247" s="38">
        <v>46272</v>
      </c>
      <c r="B247" s="43">
        <v>-1.2310000000000001E-3</v>
      </c>
      <c r="C247" s="43">
        <v>0</v>
      </c>
      <c r="D247" s="43">
        <v>0</v>
      </c>
      <c r="E247" s="43">
        <v>3.4499999999999999E-3</v>
      </c>
      <c r="F247" s="43">
        <v>0</v>
      </c>
      <c r="G247" s="43">
        <v>0</v>
      </c>
    </row>
    <row r="248" spans="1:7" x14ac:dyDescent="0.3">
      <c r="A248" s="38">
        <v>46273</v>
      </c>
      <c r="B248" s="43">
        <v>1.1740000000000001E-3</v>
      </c>
      <c r="C248" s="43">
        <v>-8.1040000000000001E-3</v>
      </c>
      <c r="D248" s="43">
        <v>3.7850000000000002E-3</v>
      </c>
      <c r="E248" s="43">
        <v>-1.4994E-2</v>
      </c>
      <c r="F248" s="43">
        <v>-5.8399999999999997E-3</v>
      </c>
      <c r="G248" s="43">
        <v>-1.2339999999999999E-3</v>
      </c>
    </row>
    <row r="249" spans="1:7" x14ac:dyDescent="0.3">
      <c r="A249" s="38">
        <v>46274</v>
      </c>
      <c r="B249" s="43">
        <v>-2.3E-5</v>
      </c>
      <c r="C249" s="43">
        <v>5.0299999999999997E-3</v>
      </c>
      <c r="D249" s="43">
        <v>2.4813000000000002E-2</v>
      </c>
      <c r="E249" s="43">
        <v>-2.4499999999999999E-3</v>
      </c>
      <c r="F249" s="43">
        <v>-4.8430000000000001E-3</v>
      </c>
      <c r="G249" s="43">
        <v>-2.9199999999999999E-3</v>
      </c>
    </row>
    <row r="250" spans="1:7" x14ac:dyDescent="0.3">
      <c r="A250" s="38">
        <v>46275</v>
      </c>
      <c r="B250" s="43">
        <v>5.5800000000000001E-4</v>
      </c>
      <c r="C250" s="43">
        <v>-1.1661999999999999E-2</v>
      </c>
      <c r="D250" s="43">
        <v>-5.3840000000000006E-2</v>
      </c>
      <c r="E250" s="43">
        <v>6.1899999999999998E-4</v>
      </c>
      <c r="F250" s="43">
        <v>-5.8479999999999999E-3</v>
      </c>
      <c r="G250" s="43">
        <v>-1.081E-2</v>
      </c>
    </row>
    <row r="251" spans="1:7" x14ac:dyDescent="0.3">
      <c r="A251" s="38">
        <v>46276</v>
      </c>
      <c r="B251" s="43">
        <v>-2.8310000000000002E-3</v>
      </c>
      <c r="C251" s="43">
        <v>1.0173000000000001E-2</v>
      </c>
      <c r="D251" s="43">
        <v>1.4063000000000001E-2</v>
      </c>
      <c r="E251" s="43">
        <v>-1.2400000000000001E-4</v>
      </c>
      <c r="F251" s="43">
        <v>8.5990000000000007E-3</v>
      </c>
      <c r="G251" s="43">
        <v>9.103E-3</v>
      </c>
    </row>
  </sheetData>
  <conditionalFormatting sqref="I1:O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89AC2-B6EF-458B-BDE3-D39F5D185F5D}">
  <dimension ref="B2:L70"/>
  <sheetViews>
    <sheetView workbookViewId="0">
      <pane ySplit="10" topLeftCell="A11" activePane="bottomLeft" state="frozen"/>
      <selection pane="bottomLeft"/>
    </sheetView>
  </sheetViews>
  <sheetFormatPr defaultRowHeight="14.4" x14ac:dyDescent="0.3"/>
  <cols>
    <col min="1" max="1" width="25.109375" customWidth="1"/>
    <col min="2" max="2" width="11.88671875" customWidth="1"/>
    <col min="3" max="3" width="15.88671875" customWidth="1"/>
    <col min="4" max="4" width="12" customWidth="1"/>
    <col min="5" max="5" width="16.21875" customWidth="1"/>
    <col min="6" max="6" width="12.88671875" customWidth="1"/>
    <col min="7" max="7" width="14.6640625" bestFit="1" customWidth="1"/>
    <col min="8" max="8" width="12.5546875" customWidth="1"/>
    <col min="9" max="9" width="21.77734375" customWidth="1"/>
    <col min="10" max="10" width="18.109375" customWidth="1"/>
    <col min="11" max="11" width="2.6640625" customWidth="1"/>
    <col min="12" max="12" width="22.44140625" bestFit="1" customWidth="1"/>
    <col min="13" max="13" width="17.33203125" bestFit="1" customWidth="1"/>
  </cols>
  <sheetData>
    <row r="2" spans="2:12" ht="15.6" x14ac:dyDescent="0.3">
      <c r="G2" s="28" t="s">
        <v>27</v>
      </c>
      <c r="H2" s="23">
        <v>1</v>
      </c>
      <c r="L2" t="s">
        <v>28</v>
      </c>
    </row>
    <row r="3" spans="2:12" x14ac:dyDescent="0.3">
      <c r="B3" s="26" t="s">
        <v>25</v>
      </c>
      <c r="C3" s="1"/>
      <c r="D3" s="1"/>
      <c r="E3" s="1"/>
      <c r="F3" s="1"/>
      <c r="G3" s="1"/>
      <c r="H3" s="1"/>
      <c r="I3" s="1"/>
      <c r="J3" s="1"/>
      <c r="L3" t="s">
        <v>29</v>
      </c>
    </row>
    <row r="4" spans="2:12" x14ac:dyDescent="0.3">
      <c r="L4" t="s">
        <v>30</v>
      </c>
    </row>
    <row r="5" spans="2:12" ht="28.8" x14ac:dyDescent="0.3">
      <c r="B5" s="25" t="s">
        <v>13</v>
      </c>
      <c r="C5" s="18" t="s">
        <v>5</v>
      </c>
      <c r="D5" s="18" t="s">
        <v>7</v>
      </c>
      <c r="E5" s="19" t="s">
        <v>9</v>
      </c>
      <c r="F5" s="14" t="s">
        <v>6</v>
      </c>
      <c r="G5" s="14" t="s">
        <v>17</v>
      </c>
      <c r="H5" s="14" t="s">
        <v>16</v>
      </c>
      <c r="I5" s="14" t="s">
        <v>14</v>
      </c>
      <c r="J5" s="14" t="s">
        <v>15</v>
      </c>
    </row>
    <row r="6" spans="2:12" ht="15.6" x14ac:dyDescent="0.3">
      <c r="B6" s="14" t="s">
        <v>0</v>
      </c>
      <c r="C6" s="10">
        <v>-88</v>
      </c>
      <c r="D6" s="11">
        <v>1.1160000000000001</v>
      </c>
      <c r="E6" s="11">
        <v>51</v>
      </c>
      <c r="F6" s="15">
        <v>10</v>
      </c>
      <c r="G6" s="15">
        <f>D6-E6/1000</f>
        <v>1.0650000000000002</v>
      </c>
      <c r="H6" s="15">
        <f>D6+E6/1000</f>
        <v>1.167</v>
      </c>
      <c r="I6" s="16">
        <f>-C6*E6*F6</f>
        <v>44880</v>
      </c>
      <c r="J6" s="17">
        <f>C6*E6*F6</f>
        <v>-44880</v>
      </c>
    </row>
    <row r="7" spans="2:12" ht="15.6" x14ac:dyDescent="0.3">
      <c r="B7" s="14" t="s">
        <v>1</v>
      </c>
      <c r="C7" s="10">
        <v>16</v>
      </c>
      <c r="D7" s="11">
        <v>42107</v>
      </c>
      <c r="E7" s="11">
        <v>483</v>
      </c>
      <c r="F7" s="15">
        <v>10</v>
      </c>
      <c r="G7" s="15">
        <f>D7-E7</f>
        <v>41624</v>
      </c>
      <c r="H7" s="15">
        <f>D7+E7</f>
        <v>42590</v>
      </c>
      <c r="I7" s="16">
        <f t="shared" ref="I7:I10" si="0">-C7*E7*F7</f>
        <v>-77280</v>
      </c>
      <c r="J7" s="17">
        <f t="shared" ref="J7:J10" si="1">C7*E7*F7</f>
        <v>77280</v>
      </c>
    </row>
    <row r="8" spans="2:12" ht="15.6" x14ac:dyDescent="0.3">
      <c r="B8" s="14" t="s">
        <v>2</v>
      </c>
      <c r="C8" s="10">
        <v>-68</v>
      </c>
      <c r="D8" s="11">
        <v>2621</v>
      </c>
      <c r="E8" s="11">
        <v>284</v>
      </c>
      <c r="F8" s="15">
        <v>10</v>
      </c>
      <c r="G8" s="15">
        <f>D8-(E8/10)</f>
        <v>2592.6</v>
      </c>
      <c r="H8" s="15">
        <f>D8+(E8/10)</f>
        <v>2649.4</v>
      </c>
      <c r="I8" s="16">
        <f t="shared" si="0"/>
        <v>193120</v>
      </c>
      <c r="J8" s="17">
        <f t="shared" si="1"/>
        <v>-193120</v>
      </c>
    </row>
    <row r="9" spans="2:12" ht="15.6" x14ac:dyDescent="0.3">
      <c r="B9" s="14" t="s">
        <v>3</v>
      </c>
      <c r="C9" s="10">
        <v>61</v>
      </c>
      <c r="D9" s="11">
        <v>143.83000000000001</v>
      </c>
      <c r="E9" s="11">
        <v>161</v>
      </c>
      <c r="F9" s="22">
        <f>1000/D9</f>
        <v>6.9526524369046783</v>
      </c>
      <c r="G9" s="15">
        <f>D9-(E9/100)</f>
        <v>142.22</v>
      </c>
      <c r="H9" s="15">
        <f>D9+(E9/100)</f>
        <v>145.44000000000003</v>
      </c>
      <c r="I9" s="16">
        <f t="shared" si="0"/>
        <v>-68281.999582840843</v>
      </c>
      <c r="J9" s="17">
        <f t="shared" si="1"/>
        <v>68281.999582840843</v>
      </c>
    </row>
    <row r="10" spans="2:12" ht="15.6" x14ac:dyDescent="0.3">
      <c r="B10" s="14" t="s">
        <v>4</v>
      </c>
      <c r="C10" s="10">
        <v>-5</v>
      </c>
      <c r="D10" s="11">
        <v>19816</v>
      </c>
      <c r="E10" s="11">
        <v>325</v>
      </c>
      <c r="F10" s="15">
        <v>10</v>
      </c>
      <c r="G10" s="15">
        <f>D10-E10</f>
        <v>19491</v>
      </c>
      <c r="H10" s="15">
        <f>D10+E10</f>
        <v>20141</v>
      </c>
      <c r="I10" s="16">
        <f t="shared" si="0"/>
        <v>16250</v>
      </c>
      <c r="J10" s="17">
        <f t="shared" si="1"/>
        <v>-16250</v>
      </c>
    </row>
    <row r="13" spans="2:12" x14ac:dyDescent="0.3">
      <c r="B13" s="26" t="s">
        <v>22</v>
      </c>
      <c r="C13" s="1"/>
      <c r="D13" s="1" t="s">
        <v>24</v>
      </c>
      <c r="E13" s="1"/>
      <c r="F13" s="1"/>
      <c r="G13" s="1"/>
      <c r="H13" s="1"/>
      <c r="I13" s="1"/>
      <c r="J13" s="1"/>
    </row>
    <row r="14" spans="2:12" ht="15.6" x14ac:dyDescent="0.3">
      <c r="E14" s="20">
        <v>0.5</v>
      </c>
    </row>
    <row r="15" spans="2:12" ht="28.8" x14ac:dyDescent="0.3">
      <c r="B15" s="25" t="s">
        <v>13</v>
      </c>
      <c r="C15" s="14" t="s">
        <v>5</v>
      </c>
      <c r="D15" s="14" t="s">
        <v>7</v>
      </c>
      <c r="E15" s="14" t="s">
        <v>9</v>
      </c>
      <c r="F15" s="14" t="s">
        <v>6</v>
      </c>
      <c r="G15" s="14" t="s">
        <v>17</v>
      </c>
      <c r="H15" s="14" t="s">
        <v>16</v>
      </c>
      <c r="I15" s="14" t="s">
        <v>14</v>
      </c>
      <c r="J15" s="14" t="s">
        <v>15</v>
      </c>
    </row>
    <row r="16" spans="2:12" ht="15.6" x14ac:dyDescent="0.3">
      <c r="B16" s="14" t="s">
        <v>0</v>
      </c>
      <c r="C16" s="24">
        <f t="shared" ref="C16:D20" si="2">C6</f>
        <v>-88</v>
      </c>
      <c r="D16" s="24">
        <f t="shared" si="2"/>
        <v>1.1160000000000001</v>
      </c>
      <c r="E16" s="24">
        <f>E6*(1+$E$14)</f>
        <v>76.5</v>
      </c>
      <c r="F16" s="15">
        <v>10</v>
      </c>
      <c r="G16" s="27">
        <f>D16-E16/1000</f>
        <v>1.0395000000000001</v>
      </c>
      <c r="H16" s="27">
        <f>D16+E16/1000</f>
        <v>1.1925000000000001</v>
      </c>
      <c r="I16" s="16">
        <f>-C16*E16*F16</f>
        <v>67320</v>
      </c>
      <c r="J16" s="17">
        <f>C16*E16*F16</f>
        <v>-67320</v>
      </c>
    </row>
    <row r="17" spans="2:10" ht="15.6" x14ac:dyDescent="0.3">
      <c r="B17" s="14" t="s">
        <v>1</v>
      </c>
      <c r="C17" s="24">
        <f t="shared" si="2"/>
        <v>16</v>
      </c>
      <c r="D17" s="24">
        <f t="shared" si="2"/>
        <v>42107</v>
      </c>
      <c r="E17" s="24">
        <f>E7*(1+$E$14)</f>
        <v>724.5</v>
      </c>
      <c r="F17" s="15">
        <v>10</v>
      </c>
      <c r="G17" s="22">
        <f>D17-E17</f>
        <v>41382.5</v>
      </c>
      <c r="H17" s="22">
        <f>D17+E17</f>
        <v>42831.5</v>
      </c>
      <c r="I17" s="16">
        <f t="shared" ref="I17:I20" si="3">-C17*E17*F17</f>
        <v>-115920</v>
      </c>
      <c r="J17" s="17">
        <f t="shared" ref="J17:J20" si="4">C17*E17*F17</f>
        <v>115920</v>
      </c>
    </row>
    <row r="18" spans="2:10" ht="15.6" x14ac:dyDescent="0.3">
      <c r="B18" s="14" t="s">
        <v>2</v>
      </c>
      <c r="C18" s="24">
        <f t="shared" si="2"/>
        <v>-68</v>
      </c>
      <c r="D18" s="24">
        <f t="shared" si="2"/>
        <v>2621</v>
      </c>
      <c r="E18" s="24">
        <f>E8*(1+$E$14)</f>
        <v>426</v>
      </c>
      <c r="F18" s="15">
        <v>10</v>
      </c>
      <c r="G18" s="22">
        <f>D18-(E18/10)</f>
        <v>2578.4</v>
      </c>
      <c r="H18" s="22">
        <f>D18+(E18/10)</f>
        <v>2663.6</v>
      </c>
      <c r="I18" s="16">
        <f t="shared" si="3"/>
        <v>289680</v>
      </c>
      <c r="J18" s="17">
        <f t="shared" si="4"/>
        <v>-289680</v>
      </c>
    </row>
    <row r="19" spans="2:10" ht="15.6" x14ac:dyDescent="0.3">
      <c r="B19" s="14" t="s">
        <v>3</v>
      </c>
      <c r="C19" s="24">
        <f t="shared" si="2"/>
        <v>61</v>
      </c>
      <c r="D19" s="24">
        <f t="shared" si="2"/>
        <v>143.83000000000001</v>
      </c>
      <c r="E19" s="24">
        <f>E9*(1+$E$14)</f>
        <v>241.5</v>
      </c>
      <c r="F19" s="22">
        <f>1000/D19</f>
        <v>6.9526524369046783</v>
      </c>
      <c r="G19" s="22">
        <f>D19-(E19/100)</f>
        <v>141.41500000000002</v>
      </c>
      <c r="H19" s="22">
        <f>D19+(E19/100)</f>
        <v>146.245</v>
      </c>
      <c r="I19" s="16">
        <f t="shared" si="3"/>
        <v>-102422.99937426127</v>
      </c>
      <c r="J19" s="17">
        <f t="shared" si="4"/>
        <v>102422.99937426127</v>
      </c>
    </row>
    <row r="20" spans="2:10" ht="15.6" x14ac:dyDescent="0.3">
      <c r="B20" s="14" t="s">
        <v>4</v>
      </c>
      <c r="C20" s="24">
        <f t="shared" si="2"/>
        <v>-5</v>
      </c>
      <c r="D20" s="24">
        <f t="shared" si="2"/>
        <v>19816</v>
      </c>
      <c r="E20" s="24">
        <f>E10*(1+$E$14)</f>
        <v>487.5</v>
      </c>
      <c r="F20" s="15">
        <v>10</v>
      </c>
      <c r="G20" s="22">
        <f>D20-E20</f>
        <v>19328.5</v>
      </c>
      <c r="H20" s="22">
        <f>D20+E20</f>
        <v>20303.5</v>
      </c>
      <c r="I20" s="16">
        <f t="shared" si="3"/>
        <v>24375</v>
      </c>
      <c r="J20" s="17">
        <f t="shared" si="4"/>
        <v>-24375</v>
      </c>
    </row>
    <row r="23" spans="2:10" x14ac:dyDescent="0.3">
      <c r="B23" s="26" t="s">
        <v>23</v>
      </c>
      <c r="C23" s="1"/>
      <c r="D23" s="1" t="s">
        <v>26</v>
      </c>
      <c r="E23" s="1"/>
      <c r="F23" s="1"/>
      <c r="G23" s="1"/>
      <c r="H23" s="1"/>
      <c r="I23" s="1"/>
      <c r="J23" s="1"/>
    </row>
    <row r="24" spans="2:10" ht="15.6" x14ac:dyDescent="0.3">
      <c r="E24" s="20">
        <v>0.25</v>
      </c>
    </row>
    <row r="25" spans="2:10" ht="28.8" x14ac:dyDescent="0.3">
      <c r="B25" s="25" t="s">
        <v>13</v>
      </c>
      <c r="C25" s="14" t="s">
        <v>5</v>
      </c>
      <c r="D25" s="14" t="s">
        <v>7</v>
      </c>
      <c r="E25" s="14" t="s">
        <v>9</v>
      </c>
      <c r="F25" s="14" t="s">
        <v>6</v>
      </c>
      <c r="G25" s="14" t="s">
        <v>17</v>
      </c>
      <c r="H25" s="14" t="s">
        <v>16</v>
      </c>
      <c r="I25" s="14" t="s">
        <v>14</v>
      </c>
      <c r="J25" s="14" t="s">
        <v>15</v>
      </c>
    </row>
    <row r="26" spans="2:10" ht="15.6" x14ac:dyDescent="0.3">
      <c r="B26" s="14" t="s">
        <v>0</v>
      </c>
      <c r="C26" s="24">
        <f t="shared" ref="C26:D30" si="5">C6</f>
        <v>-88</v>
      </c>
      <c r="D26" s="24">
        <f t="shared" si="5"/>
        <v>1.1160000000000001</v>
      </c>
      <c r="E26" s="24">
        <f>E6*(1-$E$24)</f>
        <v>38.25</v>
      </c>
      <c r="F26" s="15">
        <v>10</v>
      </c>
      <c r="G26" s="27">
        <f>D26-E26/1000</f>
        <v>1.0777500000000002</v>
      </c>
      <c r="H26" s="27">
        <f>D26+E26/1000</f>
        <v>1.15425</v>
      </c>
      <c r="I26" s="16">
        <f>-C26*E26*F26</f>
        <v>33660</v>
      </c>
      <c r="J26" s="17">
        <f>C26*E26*F26</f>
        <v>-33660</v>
      </c>
    </row>
    <row r="27" spans="2:10" ht="15.6" x14ac:dyDescent="0.3">
      <c r="B27" s="14" t="s">
        <v>1</v>
      </c>
      <c r="C27" s="24">
        <f t="shared" si="5"/>
        <v>16</v>
      </c>
      <c r="D27" s="24">
        <f t="shared" si="5"/>
        <v>42107</v>
      </c>
      <c r="E27" s="24">
        <f>E7*(1-$E$24)</f>
        <v>362.25</v>
      </c>
      <c r="F27" s="15">
        <v>10</v>
      </c>
      <c r="G27" s="22">
        <f>D27-E27</f>
        <v>41744.75</v>
      </c>
      <c r="H27" s="22">
        <f>D27+E27</f>
        <v>42469.25</v>
      </c>
      <c r="I27" s="16">
        <f t="shared" ref="I27:I30" si="6">-C27*E27*F27</f>
        <v>-57960</v>
      </c>
      <c r="J27" s="17">
        <f t="shared" ref="J27:J30" si="7">C27*E27*F27</f>
        <v>57960</v>
      </c>
    </row>
    <row r="28" spans="2:10" ht="15.6" x14ac:dyDescent="0.3">
      <c r="B28" s="14" t="s">
        <v>2</v>
      </c>
      <c r="C28" s="24">
        <f t="shared" si="5"/>
        <v>-68</v>
      </c>
      <c r="D28" s="24">
        <f t="shared" si="5"/>
        <v>2621</v>
      </c>
      <c r="E28" s="24">
        <f>E8*(1-$E$24)</f>
        <v>213</v>
      </c>
      <c r="F28" s="15">
        <v>10</v>
      </c>
      <c r="G28" s="22">
        <f>D28-(E28/10)</f>
        <v>2599.6999999999998</v>
      </c>
      <c r="H28" s="22">
        <f>D28+(E28/10)</f>
        <v>2642.3</v>
      </c>
      <c r="I28" s="16">
        <f t="shared" si="6"/>
        <v>144840</v>
      </c>
      <c r="J28" s="17">
        <f t="shared" si="7"/>
        <v>-144840</v>
      </c>
    </row>
    <row r="29" spans="2:10" ht="15.6" x14ac:dyDescent="0.3">
      <c r="B29" s="14" t="s">
        <v>3</v>
      </c>
      <c r="C29" s="24">
        <f t="shared" si="5"/>
        <v>61</v>
      </c>
      <c r="D29" s="24">
        <f t="shared" si="5"/>
        <v>143.83000000000001</v>
      </c>
      <c r="E29" s="24">
        <f>E9*(1-$E$24)</f>
        <v>120.75</v>
      </c>
      <c r="F29" s="22">
        <f>1000/D29</f>
        <v>6.9526524369046783</v>
      </c>
      <c r="G29" s="22">
        <f>D29-(E29/100)</f>
        <v>142.6225</v>
      </c>
      <c r="H29" s="22">
        <f>D29+(E29/100)</f>
        <v>145.03750000000002</v>
      </c>
      <c r="I29" s="16">
        <f t="shared" si="6"/>
        <v>-51211.499687130636</v>
      </c>
      <c r="J29" s="17">
        <f t="shared" si="7"/>
        <v>51211.499687130636</v>
      </c>
    </row>
    <row r="30" spans="2:10" ht="15.6" x14ac:dyDescent="0.3">
      <c r="B30" s="14" t="s">
        <v>4</v>
      </c>
      <c r="C30" s="24">
        <f t="shared" si="5"/>
        <v>-5</v>
      </c>
      <c r="D30" s="24">
        <f t="shared" si="5"/>
        <v>19816</v>
      </c>
      <c r="E30" s="24">
        <f>E10*(1-$E$24)</f>
        <v>243.75</v>
      </c>
      <c r="F30" s="15">
        <v>10</v>
      </c>
      <c r="G30" s="22">
        <f>D30-E30</f>
        <v>19572.25</v>
      </c>
      <c r="H30" s="22">
        <f>D30+E30</f>
        <v>20059.75</v>
      </c>
      <c r="I30" s="16">
        <f t="shared" si="6"/>
        <v>12187.5</v>
      </c>
      <c r="J30" s="17">
        <f t="shared" si="7"/>
        <v>-12187.5</v>
      </c>
    </row>
    <row r="33" spans="2:10" x14ac:dyDescent="0.3">
      <c r="B33" s="26" t="s">
        <v>27</v>
      </c>
      <c r="C33" s="1"/>
      <c r="D33" s="3"/>
      <c r="E33" s="3"/>
      <c r="F33" s="3"/>
      <c r="G33" s="1"/>
      <c r="H33" s="1"/>
      <c r="I33" s="1"/>
      <c r="J33" s="1"/>
    </row>
    <row r="35" spans="2:10" ht="28.8" x14ac:dyDescent="0.3">
      <c r="B35" s="29" t="s">
        <v>13</v>
      </c>
      <c r="C35" s="30" t="s">
        <v>5</v>
      </c>
      <c r="D35" s="30" t="s">
        <v>7</v>
      </c>
      <c r="E35" s="30" t="s">
        <v>9</v>
      </c>
      <c r="F35" s="30" t="s">
        <v>6</v>
      </c>
      <c r="G35" s="30" t="s">
        <v>17</v>
      </c>
      <c r="H35" s="30" t="s">
        <v>16</v>
      </c>
      <c r="I35" s="30" t="s">
        <v>14</v>
      </c>
      <c r="J35" s="30" t="s">
        <v>15</v>
      </c>
    </row>
    <row r="36" spans="2:10" ht="15.6" x14ac:dyDescent="0.3">
      <c r="B36" s="30" t="s">
        <v>0</v>
      </c>
      <c r="C36" s="31">
        <f t="shared" ref="C36:J40" si="8">CHOOSE($H$2,C6,C16,C26)</f>
        <v>-88</v>
      </c>
      <c r="D36" s="31">
        <f t="shared" si="8"/>
        <v>1.1160000000000001</v>
      </c>
      <c r="E36" s="31">
        <f t="shared" si="8"/>
        <v>51</v>
      </c>
      <c r="F36" s="31">
        <f t="shared" si="8"/>
        <v>10</v>
      </c>
      <c r="G36" s="32">
        <f t="shared" si="8"/>
        <v>1.0650000000000002</v>
      </c>
      <c r="H36" s="32">
        <f t="shared" si="8"/>
        <v>1.167</v>
      </c>
      <c r="I36" s="33">
        <f t="shared" si="8"/>
        <v>44880</v>
      </c>
      <c r="J36" s="34">
        <f t="shared" si="8"/>
        <v>-44880</v>
      </c>
    </row>
    <row r="37" spans="2:10" ht="15.6" x14ac:dyDescent="0.3">
      <c r="B37" s="30" t="s">
        <v>1</v>
      </c>
      <c r="C37" s="31">
        <f t="shared" si="8"/>
        <v>16</v>
      </c>
      <c r="D37" s="31">
        <f t="shared" si="8"/>
        <v>42107</v>
      </c>
      <c r="E37" s="31">
        <f t="shared" si="8"/>
        <v>483</v>
      </c>
      <c r="F37" s="31">
        <f t="shared" si="8"/>
        <v>10</v>
      </c>
      <c r="G37" s="35">
        <f t="shared" si="8"/>
        <v>41624</v>
      </c>
      <c r="H37" s="35">
        <f t="shared" si="8"/>
        <v>42590</v>
      </c>
      <c r="I37" s="33">
        <f t="shared" si="8"/>
        <v>-77280</v>
      </c>
      <c r="J37" s="34">
        <f t="shared" si="8"/>
        <v>77280</v>
      </c>
    </row>
    <row r="38" spans="2:10" ht="15.6" x14ac:dyDescent="0.3">
      <c r="B38" s="30" t="s">
        <v>2</v>
      </c>
      <c r="C38" s="31">
        <f t="shared" si="8"/>
        <v>-68</v>
      </c>
      <c r="D38" s="31">
        <f t="shared" si="8"/>
        <v>2621</v>
      </c>
      <c r="E38" s="31">
        <f t="shared" si="8"/>
        <v>284</v>
      </c>
      <c r="F38" s="31">
        <f t="shared" si="8"/>
        <v>10</v>
      </c>
      <c r="G38" s="35">
        <f t="shared" si="8"/>
        <v>2592.6</v>
      </c>
      <c r="H38" s="35">
        <f t="shared" si="8"/>
        <v>2649.4</v>
      </c>
      <c r="I38" s="33">
        <f t="shared" si="8"/>
        <v>193120</v>
      </c>
      <c r="J38" s="34">
        <f t="shared" si="8"/>
        <v>-193120</v>
      </c>
    </row>
    <row r="39" spans="2:10" ht="15.6" x14ac:dyDescent="0.3">
      <c r="B39" s="30" t="s">
        <v>3</v>
      </c>
      <c r="C39" s="31">
        <f t="shared" si="8"/>
        <v>61</v>
      </c>
      <c r="D39" s="31">
        <f t="shared" si="8"/>
        <v>143.83000000000001</v>
      </c>
      <c r="E39" s="31">
        <f t="shared" si="8"/>
        <v>161</v>
      </c>
      <c r="F39" s="36">
        <f t="shared" si="8"/>
        <v>6.9526524369046783</v>
      </c>
      <c r="G39" s="35">
        <f t="shared" si="8"/>
        <v>142.22</v>
      </c>
      <c r="H39" s="35">
        <f t="shared" si="8"/>
        <v>145.44000000000003</v>
      </c>
      <c r="I39" s="33">
        <f t="shared" si="8"/>
        <v>-68281.999582840843</v>
      </c>
      <c r="J39" s="34">
        <f t="shared" si="8"/>
        <v>68281.999582840843</v>
      </c>
    </row>
    <row r="40" spans="2:10" ht="15.6" x14ac:dyDescent="0.3">
      <c r="B40" s="30" t="s">
        <v>4</v>
      </c>
      <c r="C40" s="31">
        <f t="shared" si="8"/>
        <v>-5</v>
      </c>
      <c r="D40" s="31">
        <f t="shared" si="8"/>
        <v>19816</v>
      </c>
      <c r="E40" s="31">
        <f t="shared" si="8"/>
        <v>325</v>
      </c>
      <c r="F40" s="31">
        <f t="shared" si="8"/>
        <v>10</v>
      </c>
      <c r="G40" s="35">
        <f t="shared" si="8"/>
        <v>19491</v>
      </c>
      <c r="H40" s="35">
        <f t="shared" si="8"/>
        <v>20141</v>
      </c>
      <c r="I40" s="33">
        <f t="shared" si="8"/>
        <v>16250</v>
      </c>
      <c r="J40" s="34">
        <f t="shared" si="8"/>
        <v>-16250</v>
      </c>
    </row>
    <row r="43" spans="2:10" x14ac:dyDescent="0.3">
      <c r="B43" s="8" t="s">
        <v>13</v>
      </c>
      <c r="C43" s="9" t="s">
        <v>20</v>
      </c>
      <c r="D43" s="6"/>
      <c r="G43" s="8" t="s">
        <v>13</v>
      </c>
      <c r="H43" s="9" t="s">
        <v>20</v>
      </c>
      <c r="I43" s="6"/>
      <c r="J43" s="5"/>
    </row>
    <row r="44" spans="2:10" ht="15.6" x14ac:dyDescent="0.3">
      <c r="B44" s="7" t="s">
        <v>0</v>
      </c>
      <c r="C44" s="12">
        <f>I36</f>
        <v>44880</v>
      </c>
      <c r="D44" t="s">
        <v>18</v>
      </c>
      <c r="G44" s="7" t="s">
        <v>0</v>
      </c>
      <c r="H44" s="12">
        <f>J36</f>
        <v>-44880</v>
      </c>
      <c r="I44" t="s">
        <v>19</v>
      </c>
    </row>
    <row r="45" spans="2:10" ht="15.6" x14ac:dyDescent="0.3">
      <c r="B45" s="7" t="s">
        <v>1</v>
      </c>
      <c r="C45" s="12">
        <f>I37</f>
        <v>-77280</v>
      </c>
      <c r="G45" s="7" t="s">
        <v>1</v>
      </c>
      <c r="H45" s="12">
        <f>J37</f>
        <v>77280</v>
      </c>
    </row>
    <row r="46" spans="2:10" ht="15.6" x14ac:dyDescent="0.3">
      <c r="B46" s="7" t="s">
        <v>2</v>
      </c>
      <c r="C46" s="12">
        <f>I38</f>
        <v>193120</v>
      </c>
      <c r="G46" s="7" t="s">
        <v>2</v>
      </c>
      <c r="H46" s="12">
        <f>J38</f>
        <v>-193120</v>
      </c>
    </row>
    <row r="47" spans="2:10" ht="15.6" x14ac:dyDescent="0.3">
      <c r="B47" s="7" t="s">
        <v>3</v>
      </c>
      <c r="C47" s="12">
        <f>J39</f>
        <v>68281.999582840843</v>
      </c>
      <c r="G47" s="7" t="s">
        <v>3</v>
      </c>
      <c r="H47" s="12">
        <f>I39</f>
        <v>-68281.999582840843</v>
      </c>
    </row>
    <row r="48" spans="2:10" ht="15.6" x14ac:dyDescent="0.3">
      <c r="B48" s="7" t="s">
        <v>4</v>
      </c>
      <c r="C48" s="12">
        <f>I40</f>
        <v>16250</v>
      </c>
      <c r="G48" s="7" t="s">
        <v>4</v>
      </c>
      <c r="H48" s="12">
        <f>J40</f>
        <v>-16250</v>
      </c>
    </row>
    <row r="49" spans="2:9" ht="15.6" x14ac:dyDescent="0.3">
      <c r="B49" s="4" t="s">
        <v>8</v>
      </c>
      <c r="C49" s="13">
        <f>SUM(C44:C48)</f>
        <v>245251.99958284083</v>
      </c>
      <c r="G49" s="4" t="s">
        <v>8</v>
      </c>
      <c r="H49" s="13">
        <f>SUM(H44:H48)</f>
        <v>-245251.99958284083</v>
      </c>
    </row>
    <row r="52" spans="2:9" x14ac:dyDescent="0.3">
      <c r="B52" s="8" t="s">
        <v>13</v>
      </c>
      <c r="C52" s="9" t="s">
        <v>20</v>
      </c>
      <c r="D52" s="6"/>
      <c r="G52" s="8" t="s">
        <v>13</v>
      </c>
      <c r="H52" s="9" t="s">
        <v>20</v>
      </c>
      <c r="I52" s="6"/>
    </row>
    <row r="53" spans="2:9" ht="15.6" x14ac:dyDescent="0.3">
      <c r="B53" s="7" t="s">
        <v>0</v>
      </c>
      <c r="C53" s="12">
        <f>I36</f>
        <v>44880</v>
      </c>
      <c r="D53" t="s">
        <v>21</v>
      </c>
      <c r="G53" s="7" t="s">
        <v>0</v>
      </c>
      <c r="H53" s="12">
        <f>J36</f>
        <v>-44880</v>
      </c>
      <c r="I53" t="s">
        <v>18</v>
      </c>
    </row>
    <row r="54" spans="2:9" ht="15.6" x14ac:dyDescent="0.3">
      <c r="B54" s="7" t="s">
        <v>1</v>
      </c>
      <c r="C54" s="12">
        <f>J37</f>
        <v>77280</v>
      </c>
      <c r="G54" s="7" t="s">
        <v>1</v>
      </c>
      <c r="H54" s="12">
        <f>I37</f>
        <v>-77280</v>
      </c>
    </row>
    <row r="55" spans="2:9" ht="15.6" x14ac:dyDescent="0.3">
      <c r="B55" s="7" t="s">
        <v>2</v>
      </c>
      <c r="C55" s="12">
        <f>I38</f>
        <v>193120</v>
      </c>
      <c r="G55" s="7" t="s">
        <v>2</v>
      </c>
      <c r="H55" s="12">
        <f>J38</f>
        <v>-193120</v>
      </c>
    </row>
    <row r="56" spans="2:9" ht="15.6" x14ac:dyDescent="0.3">
      <c r="B56" s="7" t="s">
        <v>3</v>
      </c>
      <c r="C56" s="12">
        <f>J39</f>
        <v>68281.999582840843</v>
      </c>
      <c r="G56" s="7" t="s">
        <v>3</v>
      </c>
      <c r="H56" s="12">
        <f>I39</f>
        <v>-68281.999582840843</v>
      </c>
    </row>
    <row r="57" spans="2:9" ht="15.6" x14ac:dyDescent="0.3">
      <c r="B57" s="7" t="s">
        <v>4</v>
      </c>
      <c r="C57" s="12">
        <f>J40</f>
        <v>-16250</v>
      </c>
      <c r="G57" s="7" t="s">
        <v>4</v>
      </c>
      <c r="H57" s="12">
        <f>I40</f>
        <v>16250</v>
      </c>
    </row>
    <row r="58" spans="2:9" ht="15.6" x14ac:dyDescent="0.3">
      <c r="B58" s="4" t="s">
        <v>8</v>
      </c>
      <c r="C58" s="13">
        <f>SUM(C53:C57)</f>
        <v>367311.99958284083</v>
      </c>
      <c r="G58" s="4" t="s">
        <v>8</v>
      </c>
      <c r="H58" s="13">
        <f>SUM(H53:H57)</f>
        <v>-367311.99958284083</v>
      </c>
    </row>
    <row r="60" spans="2:9" x14ac:dyDescent="0.3">
      <c r="E60" s="37" t="s">
        <v>31</v>
      </c>
    </row>
    <row r="61" spans="2:9" ht="15.6" x14ac:dyDescent="0.3">
      <c r="D61" s="8" t="s">
        <v>13</v>
      </c>
      <c r="E61" s="9" t="s">
        <v>20</v>
      </c>
      <c r="F61" s="21" t="s">
        <v>10</v>
      </c>
      <c r="G61" t="s">
        <v>12</v>
      </c>
    </row>
    <row r="62" spans="2:9" ht="15.6" x14ac:dyDescent="0.3">
      <c r="D62" s="7" t="s">
        <v>0</v>
      </c>
      <c r="E62" s="12">
        <f>CHOOSE(F62,I36,J6)</f>
        <v>44880</v>
      </c>
      <c r="F62" s="23">
        <v>1</v>
      </c>
      <c r="G62" t="s">
        <v>11</v>
      </c>
    </row>
    <row r="63" spans="2:9" ht="15.6" x14ac:dyDescent="0.3">
      <c r="D63" s="7" t="s">
        <v>1</v>
      </c>
      <c r="E63" s="12">
        <f>CHOOSE(F63,I37,J7)</f>
        <v>77280</v>
      </c>
      <c r="F63" s="23">
        <v>2</v>
      </c>
    </row>
    <row r="64" spans="2:9" ht="15.6" x14ac:dyDescent="0.3">
      <c r="D64" s="7" t="s">
        <v>2</v>
      </c>
      <c r="E64" s="12">
        <f>CHOOSE(F64,I38,J8)</f>
        <v>193120</v>
      </c>
      <c r="F64" s="23">
        <v>1</v>
      </c>
    </row>
    <row r="65" spans="4:10" ht="15.6" x14ac:dyDescent="0.3">
      <c r="D65" s="7" t="s">
        <v>3</v>
      </c>
      <c r="E65" s="12">
        <f>CHOOSE(F65,I39,J9)</f>
        <v>-68281.999582840843</v>
      </c>
      <c r="F65" s="23">
        <v>1</v>
      </c>
    </row>
    <row r="66" spans="4:10" ht="15.6" x14ac:dyDescent="0.3">
      <c r="D66" s="7" t="s">
        <v>4</v>
      </c>
      <c r="E66" s="12">
        <f>CHOOSE(F66,I40,J10)</f>
        <v>16250</v>
      </c>
      <c r="F66" s="23">
        <v>1</v>
      </c>
    </row>
    <row r="67" spans="4:10" ht="15.6" x14ac:dyDescent="0.3">
      <c r="D67" s="4" t="s">
        <v>8</v>
      </c>
      <c r="E67" s="13">
        <f>SUM(E62:E66)</f>
        <v>263248.00041715917</v>
      </c>
      <c r="F67" s="2"/>
    </row>
    <row r="70" spans="4:10" x14ac:dyDescent="0.3">
      <c r="J70" s="6"/>
    </row>
  </sheetData>
  <conditionalFormatting sqref="C44:C48">
    <cfRule type="cellIs" dxfId="9" priority="15" operator="greaterThanOrEqual">
      <formula>0</formula>
    </cfRule>
    <cfRule type="cellIs" dxfId="8" priority="16" operator="lessThan">
      <formula>0</formula>
    </cfRule>
  </conditionalFormatting>
  <conditionalFormatting sqref="C53:C57">
    <cfRule type="cellIs" dxfId="7" priority="11" operator="greaterThanOrEqual">
      <formula>0</formula>
    </cfRule>
    <cfRule type="cellIs" dxfId="6" priority="12" operator="lessThan">
      <formula>0</formula>
    </cfRule>
  </conditionalFormatting>
  <conditionalFormatting sqref="E62:E66">
    <cfRule type="cellIs" dxfId="5" priority="17" operator="greaterThanOrEqual">
      <formula>0</formula>
    </cfRule>
    <cfRule type="cellIs" dxfId="4" priority="18" operator="lessThan">
      <formula>0</formula>
    </cfRule>
  </conditionalFormatting>
  <conditionalFormatting sqref="H44:H48">
    <cfRule type="cellIs" dxfId="3" priority="13" operator="greaterThanOrEqual">
      <formula>0</formula>
    </cfRule>
    <cfRule type="cellIs" dxfId="2" priority="14" operator="lessThan">
      <formula>0</formula>
    </cfRule>
  </conditionalFormatting>
  <conditionalFormatting sqref="H53:H57">
    <cfRule type="cellIs" dxfId="1" priority="9" operator="greaterThanOrEqual">
      <formula>0</formula>
    </cfRule>
    <cfRule type="cellIs" dxfId="0" priority="10" operator="lessThan">
      <formula>0</formula>
    </cfRule>
  </conditionalFormatting>
  <dataValidations count="2">
    <dataValidation type="list" allowBlank="1" showInputMessage="1" showErrorMessage="1" sqref="F62:F66" xr:uid="{11C76A9B-F12A-4FAA-8DF3-C0913BF858D9}">
      <formula1>"1,2"</formula1>
    </dataValidation>
    <dataValidation type="list" allowBlank="1" showInputMessage="1" showErrorMessage="1" sqref="H2" xr:uid="{7FE87777-3FCD-4565-B865-C315185696B8}">
      <formula1>"1,2,3"</formula1>
    </dataValidation>
  </dataValidations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90C77727-DACA-4B27-921E-FDA722936B2B}">
          <xm:f>#REF!</xm:f>
        </x15:webExtension>
        <x15:webExtension appRef="{AE707888-8AE2-41D7-BCD4-6C70CE853009}">
          <xm:f>#REF!</xm:f>
        </x15:webExtension>
        <x15:webExtension appRef="{AF4663A0-8C1C-42FD-8290-8C9AB846C49B}">
          <xm:f>#REF!</xm:f>
        </x15:webExtension>
        <x15:webExtension appRef="{276EF315-4162-4526-8C36-BA05349350D6}">
          <xm:f>#REF!</xm:f>
        </x15:webExtension>
      </x15:webExtens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B6D282-1CC8-4F61-848F-492628EFAD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VaR</vt:lpstr>
      <vt:lpstr>EWMA Volatility</vt:lpstr>
      <vt:lpstr>Stress</vt:lpstr>
      <vt:lpstr>Correlation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Agha</dc:creator>
  <cp:lastModifiedBy>Ali Agha</cp:lastModifiedBy>
  <dcterms:created xsi:type="dcterms:W3CDTF">2015-06-05T18:17:20Z</dcterms:created>
  <dcterms:modified xsi:type="dcterms:W3CDTF">2026-10-03T21:19:11Z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2e7e12-d699-407c-a9b7-32b725818c42_Enabled">
    <vt:lpwstr>true</vt:lpwstr>
  </property>
  <property fmtid="{D5CDD505-2E9C-101B-9397-08002B2CF9AE}" pid="3" name="MSIP_Label_632e7e12-d699-407c-a9b7-32b725818c42_SetDate">
    <vt:lpwstr>2024-09-22T17:33:01Z</vt:lpwstr>
  </property>
  <property fmtid="{D5CDD505-2E9C-101B-9397-08002B2CF9AE}" pid="4" name="MSIP_Label_632e7e12-d699-407c-a9b7-32b725818c42_Method">
    <vt:lpwstr>Privileged</vt:lpwstr>
  </property>
  <property fmtid="{D5CDD505-2E9C-101B-9397-08002B2CF9AE}" pid="5" name="MSIP_Label_632e7e12-d699-407c-a9b7-32b725818c42_Name">
    <vt:lpwstr>Public</vt:lpwstr>
  </property>
  <property fmtid="{D5CDD505-2E9C-101B-9397-08002B2CF9AE}" pid="6" name="MSIP_Label_632e7e12-d699-407c-a9b7-32b725818c42_SiteId">
    <vt:lpwstr>c286f10e-fafb-4640-bfb7-4abed4887d8f</vt:lpwstr>
  </property>
  <property fmtid="{D5CDD505-2E9C-101B-9397-08002B2CF9AE}" pid="7" name="MSIP_Label_632e7e12-d699-407c-a9b7-32b725818c42_ActionId">
    <vt:lpwstr>bc09f386-9b90-4767-b0b3-aded77fb113b</vt:lpwstr>
  </property>
  <property fmtid="{D5CDD505-2E9C-101B-9397-08002B2CF9AE}" pid="8" name="MSIP_Label_632e7e12-d699-407c-a9b7-32b725818c42_ContentBits">
    <vt:lpwstr>3</vt:lpwstr>
  </property>
</Properties>
</file>